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H:\My Drive\DATA\DoM - CashReserveLevyLimit\"/>
    </mc:Choice>
  </mc:AlternateContent>
  <xr:revisionPtr revIDLastSave="0" documentId="13_ncr:1_{03381F3D-BB0D-420F-8A13-B5DBAE4ADA76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CashReserveLevy" sheetId="1" r:id="rId1"/>
    <sheet name="Final" sheetId="6" state="hidden" r:id="rId2"/>
    <sheet name="ActualCRLevy_SAS" sheetId="4" state="hidden" r:id="rId3"/>
  </sheets>
  <definedNames>
    <definedName name="IDX" localSheetId="1">Final!$A$1</definedName>
    <definedName name="_xlnm.Print_Area" localSheetId="0">CashReserveLevy!$A$1:$M$362</definedName>
    <definedName name="_xlnm.Print_Titles" localSheetId="0">CashReserveLevy!$2:$2</definedName>
  </definedNames>
  <calcPr calcId="191029"/>
</workbook>
</file>

<file path=xl/calcChain.xml><?xml version="1.0" encoding="utf-8"?>
<calcChain xmlns="http://schemas.openxmlformats.org/spreadsheetml/2006/main">
  <c r="Q308" i="1" l="1"/>
  <c r="L362" i="1" l="1"/>
  <c r="C1" i="1" l="1"/>
  <c r="H327" i="1" l="1"/>
  <c r="C331" i="6"/>
  <c r="L361" i="1" l="1"/>
  <c r="L359" i="1" l="1"/>
  <c r="L360" i="1"/>
  <c r="F331" i="6" l="1"/>
  <c r="E331" i="6" l="1"/>
  <c r="J331" i="1" s="1"/>
  <c r="D331" i="6"/>
  <c r="H331" i="1"/>
  <c r="J100" i="1" l="1"/>
  <c r="J22" i="1"/>
  <c r="H304" i="1"/>
  <c r="H280" i="1"/>
  <c r="H256" i="1"/>
  <c r="H232" i="1"/>
  <c r="H208" i="1"/>
  <c r="H174" i="1"/>
  <c r="H30" i="1"/>
  <c r="J214" i="1"/>
  <c r="J106" i="1"/>
  <c r="H315" i="1"/>
  <c r="H291" i="1"/>
  <c r="H267" i="1"/>
  <c r="H243" i="1"/>
  <c r="H219" i="1"/>
  <c r="H195" i="1"/>
  <c r="H96" i="1"/>
  <c r="J172" i="1"/>
  <c r="J28" i="1"/>
  <c r="H326" i="1"/>
  <c r="H320" i="1"/>
  <c r="H314" i="1"/>
  <c r="H308" i="1"/>
  <c r="H302" i="1"/>
  <c r="H296" i="1"/>
  <c r="H290" i="1"/>
  <c r="H284" i="1"/>
  <c r="H278" i="1"/>
  <c r="H272" i="1"/>
  <c r="H266" i="1"/>
  <c r="H260" i="1"/>
  <c r="H254" i="1"/>
  <c r="H248" i="1"/>
  <c r="H242" i="1"/>
  <c r="H236" i="1"/>
  <c r="H230" i="1"/>
  <c r="H224" i="1"/>
  <c r="H218" i="1"/>
  <c r="H212" i="1"/>
  <c r="H206" i="1"/>
  <c r="H200" i="1"/>
  <c r="H194" i="1"/>
  <c r="H188" i="1"/>
  <c r="H162" i="1"/>
  <c r="H126" i="1"/>
  <c r="H90" i="1"/>
  <c r="H54" i="1"/>
  <c r="H18" i="1"/>
  <c r="J310" i="1"/>
  <c r="J274" i="1"/>
  <c r="J238" i="1"/>
  <c r="J202" i="1"/>
  <c r="J166" i="1"/>
  <c r="J130" i="1"/>
  <c r="J94" i="1"/>
  <c r="J58" i="1"/>
  <c r="H316" i="1"/>
  <c r="H292" i="1"/>
  <c r="H268" i="1"/>
  <c r="H244" i="1"/>
  <c r="H220" i="1"/>
  <c r="H196" i="1"/>
  <c r="H102" i="1"/>
  <c r="J286" i="1"/>
  <c r="J70" i="1"/>
  <c r="H309" i="1"/>
  <c r="H285" i="1"/>
  <c r="H261" i="1"/>
  <c r="H237" i="1"/>
  <c r="H207" i="1"/>
  <c r="H132" i="1"/>
  <c r="J316" i="1"/>
  <c r="J244" i="1"/>
  <c r="J136" i="1"/>
  <c r="J5" i="1"/>
  <c r="J11" i="1"/>
  <c r="J17" i="1"/>
  <c r="J23" i="1"/>
  <c r="J29" i="1"/>
  <c r="J35" i="1"/>
  <c r="J41" i="1"/>
  <c r="J47" i="1"/>
  <c r="J53" i="1"/>
  <c r="J59" i="1"/>
  <c r="J65" i="1"/>
  <c r="J71" i="1"/>
  <c r="J77" i="1"/>
  <c r="J83" i="1"/>
  <c r="J89" i="1"/>
  <c r="J95" i="1"/>
  <c r="J101" i="1"/>
  <c r="J107" i="1"/>
  <c r="J113" i="1"/>
  <c r="J119" i="1"/>
  <c r="J125" i="1"/>
  <c r="J131" i="1"/>
  <c r="J137" i="1"/>
  <c r="J143" i="1"/>
  <c r="J149" i="1"/>
  <c r="J155" i="1"/>
  <c r="J161" i="1"/>
  <c r="J167" i="1"/>
  <c r="J173" i="1"/>
  <c r="J179" i="1"/>
  <c r="J185" i="1"/>
  <c r="J191" i="1"/>
  <c r="J197" i="1"/>
  <c r="J203" i="1"/>
  <c r="J209" i="1"/>
  <c r="J215" i="1"/>
  <c r="J221" i="1"/>
  <c r="J227" i="1"/>
  <c r="J233" i="1"/>
  <c r="J239" i="1"/>
  <c r="J245" i="1"/>
  <c r="J251" i="1"/>
  <c r="J257" i="1"/>
  <c r="J263" i="1"/>
  <c r="J269" i="1"/>
  <c r="J275" i="1"/>
  <c r="J281" i="1"/>
  <c r="J287" i="1"/>
  <c r="J293" i="1"/>
  <c r="J299" i="1"/>
  <c r="J305" i="1"/>
  <c r="J311" i="1"/>
  <c r="J317" i="1"/>
  <c r="J323" i="1"/>
  <c r="H7" i="1"/>
  <c r="H13" i="1"/>
  <c r="H19" i="1"/>
  <c r="H25" i="1"/>
  <c r="H31" i="1"/>
  <c r="H37" i="1"/>
  <c r="H43" i="1"/>
  <c r="H49" i="1"/>
  <c r="H55" i="1"/>
  <c r="H61" i="1"/>
  <c r="H67" i="1"/>
  <c r="H73" i="1"/>
  <c r="H79" i="1"/>
  <c r="H85" i="1"/>
  <c r="H91" i="1"/>
  <c r="H97" i="1"/>
  <c r="H103" i="1"/>
  <c r="H109" i="1"/>
  <c r="H115" i="1"/>
  <c r="H121" i="1"/>
  <c r="H127" i="1"/>
  <c r="H133" i="1"/>
  <c r="H139" i="1"/>
  <c r="H145" i="1"/>
  <c r="H151" i="1"/>
  <c r="H157" i="1"/>
  <c r="H163" i="1"/>
  <c r="H169" i="1"/>
  <c r="H175" i="1"/>
  <c r="H181" i="1"/>
  <c r="J6" i="1"/>
  <c r="J12" i="1"/>
  <c r="J18" i="1"/>
  <c r="J24" i="1"/>
  <c r="J30" i="1"/>
  <c r="J36" i="1"/>
  <c r="J42" i="1"/>
  <c r="J48" i="1"/>
  <c r="J54" i="1"/>
  <c r="J60" i="1"/>
  <c r="J66" i="1"/>
  <c r="J72" i="1"/>
  <c r="J78" i="1"/>
  <c r="J84" i="1"/>
  <c r="J90" i="1"/>
  <c r="J96" i="1"/>
  <c r="J102" i="1"/>
  <c r="J108" i="1"/>
  <c r="J114" i="1"/>
  <c r="J120" i="1"/>
  <c r="J126" i="1"/>
  <c r="J132" i="1"/>
  <c r="J138" i="1"/>
  <c r="J144" i="1"/>
  <c r="J150" i="1"/>
  <c r="J156" i="1"/>
  <c r="J162" i="1"/>
  <c r="J168" i="1"/>
  <c r="J174" i="1"/>
  <c r="J180" i="1"/>
  <c r="J186" i="1"/>
  <c r="J192" i="1"/>
  <c r="J198" i="1"/>
  <c r="J204" i="1"/>
  <c r="J210" i="1"/>
  <c r="J216" i="1"/>
  <c r="J222" i="1"/>
  <c r="J228" i="1"/>
  <c r="J234" i="1"/>
  <c r="J240" i="1"/>
  <c r="J246" i="1"/>
  <c r="J252" i="1"/>
  <c r="J258" i="1"/>
  <c r="J264" i="1"/>
  <c r="J270" i="1"/>
  <c r="J276" i="1"/>
  <c r="J282" i="1"/>
  <c r="J288" i="1"/>
  <c r="J294" i="1"/>
  <c r="J300" i="1"/>
  <c r="J306" i="1"/>
  <c r="J312" i="1"/>
  <c r="J318" i="1"/>
  <c r="J324" i="1"/>
  <c r="J3" i="1"/>
  <c r="H8" i="1"/>
  <c r="H14" i="1"/>
  <c r="H20" i="1"/>
  <c r="H26" i="1"/>
  <c r="H32" i="1"/>
  <c r="H38" i="1"/>
  <c r="H44" i="1"/>
  <c r="H50" i="1"/>
  <c r="H56" i="1"/>
  <c r="H62" i="1"/>
  <c r="H68" i="1"/>
  <c r="H74" i="1"/>
  <c r="H80" i="1"/>
  <c r="H86" i="1"/>
  <c r="H92" i="1"/>
  <c r="H98" i="1"/>
  <c r="H104" i="1"/>
  <c r="H110" i="1"/>
  <c r="H116" i="1"/>
  <c r="H122" i="1"/>
  <c r="H128" i="1"/>
  <c r="H134" i="1"/>
  <c r="H140" i="1"/>
  <c r="H146" i="1"/>
  <c r="H152" i="1"/>
  <c r="H158" i="1"/>
  <c r="H164" i="1"/>
  <c r="H170" i="1"/>
  <c r="H176" i="1"/>
  <c r="H182" i="1"/>
  <c r="J7" i="1"/>
  <c r="J13" i="1"/>
  <c r="J19" i="1"/>
  <c r="J25" i="1"/>
  <c r="J31" i="1"/>
  <c r="J37" i="1"/>
  <c r="J43" i="1"/>
  <c r="J49" i="1"/>
  <c r="J55" i="1"/>
  <c r="J61" i="1"/>
  <c r="J67" i="1"/>
  <c r="J73" i="1"/>
  <c r="J79" i="1"/>
  <c r="J85" i="1"/>
  <c r="J91" i="1"/>
  <c r="J97" i="1"/>
  <c r="J103" i="1"/>
  <c r="J109" i="1"/>
  <c r="J115" i="1"/>
  <c r="J121" i="1"/>
  <c r="J127" i="1"/>
  <c r="J133" i="1"/>
  <c r="J139" i="1"/>
  <c r="J145" i="1"/>
  <c r="J151" i="1"/>
  <c r="J157" i="1"/>
  <c r="J163" i="1"/>
  <c r="J169" i="1"/>
  <c r="J175" i="1"/>
  <c r="J181" i="1"/>
  <c r="J187" i="1"/>
  <c r="J193" i="1"/>
  <c r="J199" i="1"/>
  <c r="J205" i="1"/>
  <c r="J211" i="1"/>
  <c r="J217" i="1"/>
  <c r="J223" i="1"/>
  <c r="J229" i="1"/>
  <c r="J235" i="1"/>
  <c r="J241" i="1"/>
  <c r="J247" i="1"/>
  <c r="J253" i="1"/>
  <c r="J259" i="1"/>
  <c r="J265" i="1"/>
  <c r="J271" i="1"/>
  <c r="J277" i="1"/>
  <c r="J283" i="1"/>
  <c r="J289" i="1"/>
  <c r="J295" i="1"/>
  <c r="J301" i="1"/>
  <c r="J307" i="1"/>
  <c r="J313" i="1"/>
  <c r="J319" i="1"/>
  <c r="J325" i="1"/>
  <c r="H9" i="1"/>
  <c r="H15" i="1"/>
  <c r="H21" i="1"/>
  <c r="H27" i="1"/>
  <c r="H33" i="1"/>
  <c r="H39" i="1"/>
  <c r="H45" i="1"/>
  <c r="H51" i="1"/>
  <c r="H57" i="1"/>
  <c r="H63" i="1"/>
  <c r="H69" i="1"/>
  <c r="H75" i="1"/>
  <c r="H81" i="1"/>
  <c r="H87" i="1"/>
  <c r="H93" i="1"/>
  <c r="H99" i="1"/>
  <c r="H105" i="1"/>
  <c r="H111" i="1"/>
  <c r="H117" i="1"/>
  <c r="H123" i="1"/>
  <c r="H129" i="1"/>
  <c r="H135" i="1"/>
  <c r="H141" i="1"/>
  <c r="H147" i="1"/>
  <c r="H153" i="1"/>
  <c r="H159" i="1"/>
  <c r="H165" i="1"/>
  <c r="H171" i="1"/>
  <c r="H177" i="1"/>
  <c r="H183" i="1"/>
  <c r="J8" i="1"/>
  <c r="J14" i="1"/>
  <c r="J20" i="1"/>
  <c r="J26" i="1"/>
  <c r="J32" i="1"/>
  <c r="J38" i="1"/>
  <c r="J44" i="1"/>
  <c r="J50" i="1"/>
  <c r="J56" i="1"/>
  <c r="J62" i="1"/>
  <c r="J68" i="1"/>
  <c r="J74" i="1"/>
  <c r="J80" i="1"/>
  <c r="J86" i="1"/>
  <c r="J92" i="1"/>
  <c r="J98" i="1"/>
  <c r="J104" i="1"/>
  <c r="J110" i="1"/>
  <c r="J116" i="1"/>
  <c r="J122" i="1"/>
  <c r="J128" i="1"/>
  <c r="J134" i="1"/>
  <c r="J140" i="1"/>
  <c r="J146" i="1"/>
  <c r="J152" i="1"/>
  <c r="J158" i="1"/>
  <c r="J164" i="1"/>
  <c r="J170" i="1"/>
  <c r="J176" i="1"/>
  <c r="J182" i="1"/>
  <c r="J188" i="1"/>
  <c r="J194" i="1"/>
  <c r="J200" i="1"/>
  <c r="J206" i="1"/>
  <c r="J212" i="1"/>
  <c r="J218" i="1"/>
  <c r="J224" i="1"/>
  <c r="J230" i="1"/>
  <c r="J236" i="1"/>
  <c r="J242" i="1"/>
  <c r="J248" i="1"/>
  <c r="J254" i="1"/>
  <c r="J260" i="1"/>
  <c r="J266" i="1"/>
  <c r="J272" i="1"/>
  <c r="J278" i="1"/>
  <c r="J284" i="1"/>
  <c r="J290" i="1"/>
  <c r="J296" i="1"/>
  <c r="J302" i="1"/>
  <c r="J308" i="1"/>
  <c r="J314" i="1"/>
  <c r="J320" i="1"/>
  <c r="J326" i="1"/>
  <c r="H4" i="1"/>
  <c r="H10" i="1"/>
  <c r="H16" i="1"/>
  <c r="H22" i="1"/>
  <c r="H28" i="1"/>
  <c r="H34" i="1"/>
  <c r="H40" i="1"/>
  <c r="H46" i="1"/>
  <c r="H52" i="1"/>
  <c r="H58" i="1"/>
  <c r="H64" i="1"/>
  <c r="H70" i="1"/>
  <c r="H76" i="1"/>
  <c r="H82" i="1"/>
  <c r="H88" i="1"/>
  <c r="H94" i="1"/>
  <c r="H100" i="1"/>
  <c r="H106" i="1"/>
  <c r="H112" i="1"/>
  <c r="H118" i="1"/>
  <c r="H124" i="1"/>
  <c r="H130" i="1"/>
  <c r="H136" i="1"/>
  <c r="H142" i="1"/>
  <c r="H148" i="1"/>
  <c r="H154" i="1"/>
  <c r="H160" i="1"/>
  <c r="H166" i="1"/>
  <c r="H172" i="1"/>
  <c r="H178" i="1"/>
  <c r="H184" i="1"/>
  <c r="J9" i="1"/>
  <c r="J15" i="1"/>
  <c r="J21" i="1"/>
  <c r="J27" i="1"/>
  <c r="J33" i="1"/>
  <c r="J39" i="1"/>
  <c r="J45" i="1"/>
  <c r="J51" i="1"/>
  <c r="J57" i="1"/>
  <c r="J63" i="1"/>
  <c r="J69" i="1"/>
  <c r="J75" i="1"/>
  <c r="J81" i="1"/>
  <c r="J87" i="1"/>
  <c r="J93" i="1"/>
  <c r="J99" i="1"/>
  <c r="J105" i="1"/>
  <c r="J111" i="1"/>
  <c r="J117" i="1"/>
  <c r="J123" i="1"/>
  <c r="J129" i="1"/>
  <c r="J135" i="1"/>
  <c r="J141" i="1"/>
  <c r="J147" i="1"/>
  <c r="J153" i="1"/>
  <c r="J159" i="1"/>
  <c r="J165" i="1"/>
  <c r="J171" i="1"/>
  <c r="J177" i="1"/>
  <c r="J183" i="1"/>
  <c r="J189" i="1"/>
  <c r="J195" i="1"/>
  <c r="J201" i="1"/>
  <c r="J207" i="1"/>
  <c r="J213" i="1"/>
  <c r="J219" i="1"/>
  <c r="J225" i="1"/>
  <c r="J231" i="1"/>
  <c r="J237" i="1"/>
  <c r="J243" i="1"/>
  <c r="J249" i="1"/>
  <c r="J255" i="1"/>
  <c r="J261" i="1"/>
  <c r="J267" i="1"/>
  <c r="J273" i="1"/>
  <c r="J279" i="1"/>
  <c r="J285" i="1"/>
  <c r="J291" i="1"/>
  <c r="J297" i="1"/>
  <c r="J303" i="1"/>
  <c r="J309" i="1"/>
  <c r="J315" i="1"/>
  <c r="J321" i="1"/>
  <c r="J327" i="1"/>
  <c r="H5" i="1"/>
  <c r="H11" i="1"/>
  <c r="H17" i="1"/>
  <c r="H23" i="1"/>
  <c r="H29" i="1"/>
  <c r="H35" i="1"/>
  <c r="H41" i="1"/>
  <c r="H47" i="1"/>
  <c r="H53" i="1"/>
  <c r="H59" i="1"/>
  <c r="H65" i="1"/>
  <c r="H71" i="1"/>
  <c r="H77" i="1"/>
  <c r="H83" i="1"/>
  <c r="H89" i="1"/>
  <c r="H95" i="1"/>
  <c r="H101" i="1"/>
  <c r="H107" i="1"/>
  <c r="H113" i="1"/>
  <c r="H119" i="1"/>
  <c r="H125" i="1"/>
  <c r="H131" i="1"/>
  <c r="H137" i="1"/>
  <c r="H143" i="1"/>
  <c r="H149" i="1"/>
  <c r="H155" i="1"/>
  <c r="H161" i="1"/>
  <c r="H167" i="1"/>
  <c r="H173" i="1"/>
  <c r="H179" i="1"/>
  <c r="H185" i="1"/>
  <c r="H325" i="1"/>
  <c r="H319" i="1"/>
  <c r="H313" i="1"/>
  <c r="H307" i="1"/>
  <c r="H301" i="1"/>
  <c r="H295" i="1"/>
  <c r="H289" i="1"/>
  <c r="H283" i="1"/>
  <c r="H277" i="1"/>
  <c r="H271" i="1"/>
  <c r="H265" i="1"/>
  <c r="H259" i="1"/>
  <c r="H253" i="1"/>
  <c r="H247" i="1"/>
  <c r="H241" i="1"/>
  <c r="H235" i="1"/>
  <c r="H229" i="1"/>
  <c r="H223" i="1"/>
  <c r="H217" i="1"/>
  <c r="H211" i="1"/>
  <c r="H205" i="1"/>
  <c r="H199" i="1"/>
  <c r="H193" i="1"/>
  <c r="H187" i="1"/>
  <c r="H156" i="1"/>
  <c r="H120" i="1"/>
  <c r="H84" i="1"/>
  <c r="H48" i="1"/>
  <c r="H12" i="1"/>
  <c r="J304" i="1"/>
  <c r="J268" i="1"/>
  <c r="J232" i="1"/>
  <c r="J196" i="1"/>
  <c r="J160" i="1"/>
  <c r="J124" i="1"/>
  <c r="J88" i="1"/>
  <c r="J52" i="1"/>
  <c r="J16" i="1"/>
  <c r="H310" i="1"/>
  <c r="H286" i="1"/>
  <c r="H262" i="1"/>
  <c r="H238" i="1"/>
  <c r="H214" i="1"/>
  <c r="H190" i="1"/>
  <c r="H66" i="1"/>
  <c r="J250" i="1"/>
  <c r="J34" i="1"/>
  <c r="H321" i="1"/>
  <c r="H297" i="1"/>
  <c r="H273" i="1"/>
  <c r="H249" i="1"/>
  <c r="H231" i="1"/>
  <c r="H213" i="1"/>
  <c r="H189" i="1"/>
  <c r="H60" i="1"/>
  <c r="J280" i="1"/>
  <c r="J64" i="1"/>
  <c r="H3" i="1"/>
  <c r="H324" i="1"/>
  <c r="H318" i="1"/>
  <c r="H312" i="1"/>
  <c r="H306" i="1"/>
  <c r="H300" i="1"/>
  <c r="H294" i="1"/>
  <c r="H288" i="1"/>
  <c r="H282" i="1"/>
  <c r="H276" i="1"/>
  <c r="H270" i="1"/>
  <c r="H264" i="1"/>
  <c r="H258" i="1"/>
  <c r="H252" i="1"/>
  <c r="H246" i="1"/>
  <c r="H240" i="1"/>
  <c r="H234" i="1"/>
  <c r="H228" i="1"/>
  <c r="H222" i="1"/>
  <c r="H216" i="1"/>
  <c r="H210" i="1"/>
  <c r="H204" i="1"/>
  <c r="H198" i="1"/>
  <c r="H192" i="1"/>
  <c r="H186" i="1"/>
  <c r="H150" i="1"/>
  <c r="H114" i="1"/>
  <c r="H78" i="1"/>
  <c r="H42" i="1"/>
  <c r="H6" i="1"/>
  <c r="J298" i="1"/>
  <c r="J262" i="1"/>
  <c r="J226" i="1"/>
  <c r="J190" i="1"/>
  <c r="J154" i="1"/>
  <c r="J118" i="1"/>
  <c r="J82" i="1"/>
  <c r="J46" i="1"/>
  <c r="J10" i="1"/>
  <c r="H322" i="1"/>
  <c r="H298" i="1"/>
  <c r="H274" i="1"/>
  <c r="H250" i="1"/>
  <c r="H226" i="1"/>
  <c r="H202" i="1"/>
  <c r="H138" i="1"/>
  <c r="J322" i="1"/>
  <c r="J178" i="1"/>
  <c r="J142" i="1"/>
  <c r="H303" i="1"/>
  <c r="H279" i="1"/>
  <c r="H255" i="1"/>
  <c r="H225" i="1"/>
  <c r="H201" i="1"/>
  <c r="H168" i="1"/>
  <c r="H24" i="1"/>
  <c r="J208" i="1"/>
  <c r="H323" i="1"/>
  <c r="H317" i="1"/>
  <c r="H311" i="1"/>
  <c r="H305" i="1"/>
  <c r="H299" i="1"/>
  <c r="H293" i="1"/>
  <c r="H287" i="1"/>
  <c r="H281" i="1"/>
  <c r="H275" i="1"/>
  <c r="H269" i="1"/>
  <c r="H263" i="1"/>
  <c r="H257" i="1"/>
  <c r="H251" i="1"/>
  <c r="H245" i="1"/>
  <c r="H239" i="1"/>
  <c r="H233" i="1"/>
  <c r="H227" i="1"/>
  <c r="H221" i="1"/>
  <c r="H215" i="1"/>
  <c r="H209" i="1"/>
  <c r="H203" i="1"/>
  <c r="H197" i="1"/>
  <c r="H191" i="1"/>
  <c r="H180" i="1"/>
  <c r="H144" i="1"/>
  <c r="H108" i="1"/>
  <c r="H72" i="1"/>
  <c r="H36" i="1"/>
  <c r="J292" i="1"/>
  <c r="J256" i="1"/>
  <c r="J220" i="1"/>
  <c r="J184" i="1"/>
  <c r="J148" i="1"/>
  <c r="J112" i="1"/>
  <c r="J76" i="1"/>
  <c r="J40" i="1"/>
  <c r="J4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41" i="1"/>
  <c r="I293" i="1" l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" i="1"/>
  <c r="L335" i="1" l="1"/>
  <c r="L328" i="1"/>
  <c r="I14" i="1" l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V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K293" i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V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" i="1"/>
  <c r="I4" i="1"/>
  <c r="I5" i="1"/>
  <c r="K5" i="1" s="1"/>
  <c r="I6" i="1"/>
  <c r="K6" i="1" s="1"/>
  <c r="I7" i="1"/>
  <c r="K7" i="1" s="1"/>
  <c r="I8" i="1"/>
  <c r="I9" i="1"/>
  <c r="K9" i="1" s="1"/>
  <c r="I10" i="1"/>
  <c r="K10" i="1" s="1"/>
  <c r="I11" i="1"/>
  <c r="K11" i="1" s="1"/>
  <c r="I12" i="1"/>
  <c r="I13" i="1"/>
  <c r="K13" i="1" s="1"/>
  <c r="Q318" i="1" l="1"/>
  <c r="V318" i="1"/>
  <c r="Q325" i="1"/>
  <c r="V325" i="1"/>
  <c r="Q293" i="1"/>
  <c r="V293" i="1"/>
  <c r="Q261" i="1"/>
  <c r="V261" i="1"/>
  <c r="Q229" i="1"/>
  <c r="V229" i="1"/>
  <c r="Q213" i="1"/>
  <c r="V213" i="1"/>
  <c r="Q189" i="1"/>
  <c r="V189" i="1"/>
  <c r="Q181" i="1"/>
  <c r="V181" i="1"/>
  <c r="Q173" i="1"/>
  <c r="V173" i="1"/>
  <c r="Q165" i="1"/>
  <c r="V165" i="1"/>
  <c r="Q157" i="1"/>
  <c r="V157" i="1"/>
  <c r="Q149" i="1"/>
  <c r="V149" i="1"/>
  <c r="Q141" i="1"/>
  <c r="V141" i="1"/>
  <c r="Q133" i="1"/>
  <c r="V133" i="1"/>
  <c r="Q125" i="1"/>
  <c r="V125" i="1"/>
  <c r="Q117" i="1"/>
  <c r="V117" i="1"/>
  <c r="Q109" i="1"/>
  <c r="V109" i="1"/>
  <c r="Q101" i="1"/>
  <c r="V101" i="1"/>
  <c r="Q93" i="1"/>
  <c r="V93" i="1"/>
  <c r="Q85" i="1"/>
  <c r="V85" i="1"/>
  <c r="Q77" i="1"/>
  <c r="V77" i="1"/>
  <c r="Q69" i="1"/>
  <c r="V69" i="1"/>
  <c r="Q61" i="1"/>
  <c r="V61" i="1"/>
  <c r="Q53" i="1"/>
  <c r="V53" i="1"/>
  <c r="Q45" i="1"/>
  <c r="V45" i="1"/>
  <c r="Q37" i="1"/>
  <c r="V37" i="1"/>
  <c r="Q29" i="1"/>
  <c r="V29" i="1"/>
  <c r="Q21" i="1"/>
  <c r="V21" i="1"/>
  <c r="Q6" i="1"/>
  <c r="V6" i="1"/>
  <c r="Q324" i="1"/>
  <c r="V324" i="1"/>
  <c r="V308" i="1"/>
  <c r="Q300" i="1"/>
  <c r="V300" i="1"/>
  <c r="Q292" i="1"/>
  <c r="V292" i="1"/>
  <c r="Q284" i="1"/>
  <c r="V284" i="1"/>
  <c r="Q276" i="1"/>
  <c r="V276" i="1"/>
  <c r="Q268" i="1"/>
  <c r="V268" i="1"/>
  <c r="Q260" i="1"/>
  <c r="V260" i="1"/>
  <c r="Q252" i="1"/>
  <c r="V252" i="1"/>
  <c r="Q244" i="1"/>
  <c r="V244" i="1"/>
  <c r="Q236" i="1"/>
  <c r="V236" i="1"/>
  <c r="Q228" i="1"/>
  <c r="V228" i="1"/>
  <c r="Q220" i="1"/>
  <c r="V220" i="1"/>
  <c r="Q212" i="1"/>
  <c r="V212" i="1"/>
  <c r="Q204" i="1"/>
  <c r="V204" i="1"/>
  <c r="Q196" i="1"/>
  <c r="V196" i="1"/>
  <c r="Q188" i="1"/>
  <c r="V188" i="1"/>
  <c r="Q180" i="1"/>
  <c r="V180" i="1"/>
  <c r="Q172" i="1"/>
  <c r="V172" i="1"/>
  <c r="Q164" i="1"/>
  <c r="V164" i="1"/>
  <c r="Q156" i="1"/>
  <c r="V156" i="1"/>
  <c r="Q148" i="1"/>
  <c r="V148" i="1"/>
  <c r="Q140" i="1"/>
  <c r="V140" i="1"/>
  <c r="Q132" i="1"/>
  <c r="V132" i="1"/>
  <c r="Q124" i="1"/>
  <c r="V124" i="1"/>
  <c r="Q116" i="1"/>
  <c r="V116" i="1"/>
  <c r="Q108" i="1"/>
  <c r="V108" i="1"/>
  <c r="Q100" i="1"/>
  <c r="V100" i="1"/>
  <c r="Q92" i="1"/>
  <c r="V92" i="1"/>
  <c r="Q84" i="1"/>
  <c r="V84" i="1"/>
  <c r="Q76" i="1"/>
  <c r="V76" i="1"/>
  <c r="Q68" i="1"/>
  <c r="V68" i="1"/>
  <c r="Q60" i="1"/>
  <c r="V60" i="1"/>
  <c r="Q52" i="1"/>
  <c r="V52" i="1"/>
  <c r="Q44" i="1"/>
  <c r="V44" i="1"/>
  <c r="Q36" i="1"/>
  <c r="V36" i="1"/>
  <c r="Q28" i="1"/>
  <c r="V28" i="1"/>
  <c r="Q20" i="1"/>
  <c r="V20" i="1"/>
  <c r="Q59" i="1"/>
  <c r="V59" i="1"/>
  <c r="Q51" i="1"/>
  <c r="V51" i="1"/>
  <c r="Q43" i="1"/>
  <c r="V43" i="1"/>
  <c r="Q35" i="1"/>
  <c r="V35" i="1"/>
  <c r="Q27" i="1"/>
  <c r="V27" i="1"/>
  <c r="Q19" i="1"/>
  <c r="V19" i="1"/>
  <c r="Q317" i="1"/>
  <c r="V317" i="1"/>
  <c r="Q253" i="1"/>
  <c r="V253" i="1"/>
  <c r="Q13" i="1"/>
  <c r="V13" i="1"/>
  <c r="Q275" i="1"/>
  <c r="V275" i="1"/>
  <c r="Q227" i="1"/>
  <c r="V227" i="1"/>
  <c r="Q163" i="1"/>
  <c r="V163" i="1"/>
  <c r="Q123" i="1"/>
  <c r="V123" i="1"/>
  <c r="Q91" i="1"/>
  <c r="V91" i="1"/>
  <c r="Q298" i="1"/>
  <c r="V298" i="1"/>
  <c r="Q250" i="1"/>
  <c r="V250" i="1"/>
  <c r="Q202" i="1"/>
  <c r="V202" i="1"/>
  <c r="Q138" i="1"/>
  <c r="V138" i="1"/>
  <c r="Q98" i="1"/>
  <c r="V98" i="1"/>
  <c r="Q82" i="1"/>
  <c r="V82" i="1"/>
  <c r="Q58" i="1"/>
  <c r="V58" i="1"/>
  <c r="Q50" i="1"/>
  <c r="V50" i="1"/>
  <c r="Q42" i="1"/>
  <c r="V42" i="1"/>
  <c r="Q34" i="1"/>
  <c r="V34" i="1"/>
  <c r="Q26" i="1"/>
  <c r="V26" i="1"/>
  <c r="Q18" i="1"/>
  <c r="V18" i="1"/>
  <c r="Q7" i="1"/>
  <c r="V7" i="1"/>
  <c r="Q269" i="1"/>
  <c r="V269" i="1"/>
  <c r="Q221" i="1"/>
  <c r="V221" i="1"/>
  <c r="Q299" i="1"/>
  <c r="V299" i="1"/>
  <c r="Q235" i="1"/>
  <c r="V235" i="1"/>
  <c r="Q187" i="1"/>
  <c r="V187" i="1"/>
  <c r="Q131" i="1"/>
  <c r="V131" i="1"/>
  <c r="Q83" i="1"/>
  <c r="V83" i="1"/>
  <c r="Q290" i="1"/>
  <c r="V290" i="1"/>
  <c r="Q234" i="1"/>
  <c r="V234" i="1"/>
  <c r="Q178" i="1"/>
  <c r="V178" i="1"/>
  <c r="Q90" i="1"/>
  <c r="V90" i="1"/>
  <c r="Q273" i="1"/>
  <c r="V273" i="1"/>
  <c r="Q217" i="1"/>
  <c r="V217" i="1"/>
  <c r="Q169" i="1"/>
  <c r="V169" i="1"/>
  <c r="Q145" i="1"/>
  <c r="V145" i="1"/>
  <c r="Q121" i="1"/>
  <c r="V121" i="1"/>
  <c r="Q113" i="1"/>
  <c r="V113" i="1"/>
  <c r="Q105" i="1"/>
  <c r="V105" i="1"/>
  <c r="Q97" i="1"/>
  <c r="V97" i="1"/>
  <c r="Q89" i="1"/>
  <c r="V89" i="1"/>
  <c r="Q81" i="1"/>
  <c r="V81" i="1"/>
  <c r="Q73" i="1"/>
  <c r="V73" i="1"/>
  <c r="Q65" i="1"/>
  <c r="V65" i="1"/>
  <c r="Q57" i="1"/>
  <c r="V57" i="1"/>
  <c r="Q49" i="1"/>
  <c r="V49" i="1"/>
  <c r="Q41" i="1"/>
  <c r="V41" i="1"/>
  <c r="Q33" i="1"/>
  <c r="V33" i="1"/>
  <c r="Q25" i="1"/>
  <c r="V25" i="1"/>
  <c r="Q17" i="1"/>
  <c r="V17" i="1"/>
  <c r="Q302" i="1"/>
  <c r="V302" i="1"/>
  <c r="Q309" i="1"/>
  <c r="V309" i="1"/>
  <c r="Q277" i="1"/>
  <c r="V277" i="1"/>
  <c r="Q237" i="1"/>
  <c r="V237" i="1"/>
  <c r="Q197" i="1"/>
  <c r="V197" i="1"/>
  <c r="Q323" i="1"/>
  <c r="V323" i="1"/>
  <c r="Q307" i="1"/>
  <c r="V307" i="1"/>
  <c r="Q283" i="1"/>
  <c r="V283" i="1"/>
  <c r="Q259" i="1"/>
  <c r="V259" i="1"/>
  <c r="Q243" i="1"/>
  <c r="V243" i="1"/>
  <c r="Q211" i="1"/>
  <c r="V211" i="1"/>
  <c r="Q203" i="1"/>
  <c r="V203" i="1"/>
  <c r="Q179" i="1"/>
  <c r="V179" i="1"/>
  <c r="Q155" i="1"/>
  <c r="V155" i="1"/>
  <c r="Q139" i="1"/>
  <c r="V139" i="1"/>
  <c r="Q107" i="1"/>
  <c r="V107" i="1"/>
  <c r="Q67" i="1"/>
  <c r="V67" i="1"/>
  <c r="Q314" i="1"/>
  <c r="V314" i="1"/>
  <c r="Q282" i="1"/>
  <c r="V282" i="1"/>
  <c r="Q266" i="1"/>
  <c r="V266" i="1"/>
  <c r="Q242" i="1"/>
  <c r="V242" i="1"/>
  <c r="Q218" i="1"/>
  <c r="V218" i="1"/>
  <c r="Q194" i="1"/>
  <c r="V194" i="1"/>
  <c r="Q170" i="1"/>
  <c r="V170" i="1"/>
  <c r="Q154" i="1"/>
  <c r="V154" i="1"/>
  <c r="Q130" i="1"/>
  <c r="V130" i="1"/>
  <c r="Q114" i="1"/>
  <c r="V114" i="1"/>
  <c r="Q66" i="1"/>
  <c r="V66" i="1"/>
  <c r="Q321" i="1"/>
  <c r="V321" i="1"/>
  <c r="Q305" i="1"/>
  <c r="V305" i="1"/>
  <c r="Q281" i="1"/>
  <c r="V281" i="1"/>
  <c r="Q257" i="1"/>
  <c r="V257" i="1"/>
  <c r="Q241" i="1"/>
  <c r="V241" i="1"/>
  <c r="Q225" i="1"/>
  <c r="V225" i="1"/>
  <c r="Q185" i="1"/>
  <c r="V185" i="1"/>
  <c r="Q153" i="1"/>
  <c r="V153" i="1"/>
  <c r="Q129" i="1"/>
  <c r="V129" i="1"/>
  <c r="Q10" i="1"/>
  <c r="V10" i="1"/>
  <c r="Q320" i="1"/>
  <c r="V320" i="1"/>
  <c r="Q312" i="1"/>
  <c r="V312" i="1"/>
  <c r="Q304" i="1"/>
  <c r="V304" i="1"/>
  <c r="Q296" i="1"/>
  <c r="V296" i="1"/>
  <c r="Q288" i="1"/>
  <c r="V288" i="1"/>
  <c r="Q280" i="1"/>
  <c r="V280" i="1"/>
  <c r="Q272" i="1"/>
  <c r="V272" i="1"/>
  <c r="Q264" i="1"/>
  <c r="V264" i="1"/>
  <c r="Q256" i="1"/>
  <c r="V256" i="1"/>
  <c r="Q248" i="1"/>
  <c r="V248" i="1"/>
  <c r="Q240" i="1"/>
  <c r="V240" i="1"/>
  <c r="Q232" i="1"/>
  <c r="V232" i="1"/>
  <c r="Q224" i="1"/>
  <c r="V224" i="1"/>
  <c r="Q216" i="1"/>
  <c r="V216" i="1"/>
  <c r="Q208" i="1"/>
  <c r="V208" i="1"/>
  <c r="Q200" i="1"/>
  <c r="V200" i="1"/>
  <c r="Q192" i="1"/>
  <c r="V192" i="1"/>
  <c r="Q184" i="1"/>
  <c r="V184" i="1"/>
  <c r="Q176" i="1"/>
  <c r="V176" i="1"/>
  <c r="Q168" i="1"/>
  <c r="V168" i="1"/>
  <c r="Q160" i="1"/>
  <c r="V160" i="1"/>
  <c r="Q152" i="1"/>
  <c r="V152" i="1"/>
  <c r="Q144" i="1"/>
  <c r="V144" i="1"/>
  <c r="Q136" i="1"/>
  <c r="V136" i="1"/>
  <c r="Q128" i="1"/>
  <c r="V128" i="1"/>
  <c r="Q120" i="1"/>
  <c r="V120" i="1"/>
  <c r="Q112" i="1"/>
  <c r="V112" i="1"/>
  <c r="Q104" i="1"/>
  <c r="V104" i="1"/>
  <c r="Q96" i="1"/>
  <c r="V96" i="1"/>
  <c r="Q88" i="1"/>
  <c r="V88" i="1"/>
  <c r="Q80" i="1"/>
  <c r="V80" i="1"/>
  <c r="Q72" i="1"/>
  <c r="V72" i="1"/>
  <c r="Q64" i="1"/>
  <c r="V64" i="1"/>
  <c r="Q56" i="1"/>
  <c r="V56" i="1"/>
  <c r="Q48" i="1"/>
  <c r="V48" i="1"/>
  <c r="Q40" i="1"/>
  <c r="V40" i="1"/>
  <c r="Q32" i="1"/>
  <c r="V32" i="1"/>
  <c r="Q24" i="1"/>
  <c r="V24" i="1"/>
  <c r="Q16" i="1"/>
  <c r="V16" i="1"/>
  <c r="Q310" i="1"/>
  <c r="V310" i="1"/>
  <c r="Q301" i="1"/>
  <c r="V301" i="1"/>
  <c r="Q285" i="1"/>
  <c r="V285" i="1"/>
  <c r="Q245" i="1"/>
  <c r="V245" i="1"/>
  <c r="Q205" i="1"/>
  <c r="V205" i="1"/>
  <c r="Q5" i="1"/>
  <c r="V5" i="1"/>
  <c r="Q315" i="1"/>
  <c r="V315" i="1"/>
  <c r="Q291" i="1"/>
  <c r="V291" i="1"/>
  <c r="Q267" i="1"/>
  <c r="V267" i="1"/>
  <c r="Q251" i="1"/>
  <c r="V251" i="1"/>
  <c r="Q219" i="1"/>
  <c r="V219" i="1"/>
  <c r="Q195" i="1"/>
  <c r="V195" i="1"/>
  <c r="Q171" i="1"/>
  <c r="V171" i="1"/>
  <c r="Q147" i="1"/>
  <c r="V147" i="1"/>
  <c r="Q115" i="1"/>
  <c r="V115" i="1"/>
  <c r="Q99" i="1"/>
  <c r="V99" i="1"/>
  <c r="Q75" i="1"/>
  <c r="V75" i="1"/>
  <c r="Q322" i="1"/>
  <c r="V322" i="1"/>
  <c r="Q306" i="1"/>
  <c r="V306" i="1"/>
  <c r="Q274" i="1"/>
  <c r="V274" i="1"/>
  <c r="Q258" i="1"/>
  <c r="V258" i="1"/>
  <c r="Q226" i="1"/>
  <c r="V226" i="1"/>
  <c r="Q210" i="1"/>
  <c r="V210" i="1"/>
  <c r="Q186" i="1"/>
  <c r="V186" i="1"/>
  <c r="Q162" i="1"/>
  <c r="V162" i="1"/>
  <c r="Q146" i="1"/>
  <c r="V146" i="1"/>
  <c r="Q122" i="1"/>
  <c r="V122" i="1"/>
  <c r="Q106" i="1"/>
  <c r="V106" i="1"/>
  <c r="Q74" i="1"/>
  <c r="V74" i="1"/>
  <c r="Q11" i="1"/>
  <c r="V11" i="1"/>
  <c r="Q313" i="1"/>
  <c r="V313" i="1"/>
  <c r="Q297" i="1"/>
  <c r="V297" i="1"/>
  <c r="Q289" i="1"/>
  <c r="V289" i="1"/>
  <c r="Q265" i="1"/>
  <c r="V265" i="1"/>
  <c r="Q249" i="1"/>
  <c r="V249" i="1"/>
  <c r="Q233" i="1"/>
  <c r="V233" i="1"/>
  <c r="Q209" i="1"/>
  <c r="V209" i="1"/>
  <c r="Q193" i="1"/>
  <c r="V193" i="1"/>
  <c r="Q177" i="1"/>
  <c r="V177" i="1"/>
  <c r="Q161" i="1"/>
  <c r="V161" i="1"/>
  <c r="Q137" i="1"/>
  <c r="V137" i="1"/>
  <c r="Q9" i="1"/>
  <c r="V9" i="1"/>
  <c r="Q327" i="1"/>
  <c r="V327" i="1"/>
  <c r="Q319" i="1"/>
  <c r="V319" i="1"/>
  <c r="Q311" i="1"/>
  <c r="V311" i="1"/>
  <c r="Q303" i="1"/>
  <c r="V303" i="1"/>
  <c r="Q295" i="1"/>
  <c r="V295" i="1"/>
  <c r="Q287" i="1"/>
  <c r="V287" i="1"/>
  <c r="Q279" i="1"/>
  <c r="V279" i="1"/>
  <c r="Q271" i="1"/>
  <c r="V271" i="1"/>
  <c r="Q263" i="1"/>
  <c r="V263" i="1"/>
  <c r="Q255" i="1"/>
  <c r="V255" i="1"/>
  <c r="Q247" i="1"/>
  <c r="V247" i="1"/>
  <c r="Q239" i="1"/>
  <c r="V239" i="1"/>
  <c r="Q231" i="1"/>
  <c r="V231" i="1"/>
  <c r="Q223" i="1"/>
  <c r="V223" i="1"/>
  <c r="Q215" i="1"/>
  <c r="V215" i="1"/>
  <c r="Q207" i="1"/>
  <c r="V207" i="1"/>
  <c r="Q199" i="1"/>
  <c r="V199" i="1"/>
  <c r="Q191" i="1"/>
  <c r="V191" i="1"/>
  <c r="Q183" i="1"/>
  <c r="V183" i="1"/>
  <c r="Q175" i="1"/>
  <c r="V175" i="1"/>
  <c r="Q167" i="1"/>
  <c r="V167" i="1"/>
  <c r="Q159" i="1"/>
  <c r="V159" i="1"/>
  <c r="Q151" i="1"/>
  <c r="V151" i="1"/>
  <c r="Q143" i="1"/>
  <c r="V143" i="1"/>
  <c r="Q135" i="1"/>
  <c r="V135" i="1"/>
  <c r="Q127" i="1"/>
  <c r="V127" i="1"/>
  <c r="Q119" i="1"/>
  <c r="V119" i="1"/>
  <c r="Q111" i="1"/>
  <c r="V111" i="1"/>
  <c r="Q103" i="1"/>
  <c r="V103" i="1"/>
  <c r="Q95" i="1"/>
  <c r="V95" i="1"/>
  <c r="Q87" i="1"/>
  <c r="V87" i="1"/>
  <c r="Q79" i="1"/>
  <c r="V79" i="1"/>
  <c r="Q71" i="1"/>
  <c r="V71" i="1"/>
  <c r="Q63" i="1"/>
  <c r="V63" i="1"/>
  <c r="Q55" i="1"/>
  <c r="V55" i="1"/>
  <c r="Q47" i="1"/>
  <c r="V47" i="1"/>
  <c r="Q39" i="1"/>
  <c r="V39" i="1"/>
  <c r="Q31" i="1"/>
  <c r="V31" i="1"/>
  <c r="Q23" i="1"/>
  <c r="V23" i="1"/>
  <c r="Q15" i="1"/>
  <c r="V15" i="1"/>
  <c r="Q326" i="1"/>
  <c r="V326" i="1"/>
  <c r="Q294" i="1"/>
  <c r="V294" i="1"/>
  <c r="Q286" i="1"/>
  <c r="V286" i="1"/>
  <c r="Q278" i="1"/>
  <c r="V278" i="1"/>
  <c r="Q270" i="1"/>
  <c r="V270" i="1"/>
  <c r="Q262" i="1"/>
  <c r="V262" i="1"/>
  <c r="Q254" i="1"/>
  <c r="V254" i="1"/>
  <c r="Q246" i="1"/>
  <c r="V246" i="1"/>
  <c r="Q238" i="1"/>
  <c r="V238" i="1"/>
  <c r="Q230" i="1"/>
  <c r="V230" i="1"/>
  <c r="Q222" i="1"/>
  <c r="V222" i="1"/>
  <c r="Q214" i="1"/>
  <c r="V214" i="1"/>
  <c r="Q206" i="1"/>
  <c r="V206" i="1"/>
  <c r="Q198" i="1"/>
  <c r="V198" i="1"/>
  <c r="Q190" i="1"/>
  <c r="V190" i="1"/>
  <c r="Q182" i="1"/>
  <c r="V182" i="1"/>
  <c r="Q174" i="1"/>
  <c r="V174" i="1"/>
  <c r="Q166" i="1"/>
  <c r="V166" i="1"/>
  <c r="Q158" i="1"/>
  <c r="V158" i="1"/>
  <c r="Q150" i="1"/>
  <c r="V150" i="1"/>
  <c r="Q142" i="1"/>
  <c r="V142" i="1"/>
  <c r="Q134" i="1"/>
  <c r="V134" i="1"/>
  <c r="Q126" i="1"/>
  <c r="V126" i="1"/>
  <c r="Q118" i="1"/>
  <c r="V118" i="1"/>
  <c r="Q110" i="1"/>
  <c r="V110" i="1"/>
  <c r="Q102" i="1"/>
  <c r="V102" i="1"/>
  <c r="Q94" i="1"/>
  <c r="V94" i="1"/>
  <c r="Q86" i="1"/>
  <c r="V86" i="1"/>
  <c r="Q78" i="1"/>
  <c r="V78" i="1"/>
  <c r="Q70" i="1"/>
  <c r="V70" i="1"/>
  <c r="Q62" i="1"/>
  <c r="V62" i="1"/>
  <c r="Q54" i="1"/>
  <c r="V54" i="1"/>
  <c r="Q46" i="1"/>
  <c r="V46" i="1"/>
  <c r="Q38" i="1"/>
  <c r="V38" i="1"/>
  <c r="Q30" i="1"/>
  <c r="V30" i="1"/>
  <c r="Q22" i="1"/>
  <c r="V22" i="1"/>
  <c r="Q14" i="1"/>
  <c r="V14" i="1"/>
  <c r="Q316" i="1"/>
  <c r="Q201" i="1"/>
  <c r="O319" i="1"/>
  <c r="O271" i="1"/>
  <c r="O229" i="1"/>
  <c r="O199" i="1"/>
  <c r="O187" i="1"/>
  <c r="O175" i="1"/>
  <c r="O151" i="1"/>
  <c r="O145" i="1"/>
  <c r="O139" i="1"/>
  <c r="O133" i="1"/>
  <c r="O127" i="1"/>
  <c r="O121" i="1"/>
  <c r="O115" i="1"/>
  <c r="O109" i="1"/>
  <c r="O103" i="1"/>
  <c r="O97" i="1"/>
  <c r="O91" i="1"/>
  <c r="O85" i="1"/>
  <c r="O79" i="1"/>
  <c r="O73" i="1"/>
  <c r="O67" i="1"/>
  <c r="O61" i="1"/>
  <c r="O55" i="1"/>
  <c r="O49" i="1"/>
  <c r="O43" i="1"/>
  <c r="O37" i="1"/>
  <c r="O31" i="1"/>
  <c r="O25" i="1"/>
  <c r="O19" i="1"/>
  <c r="O10" i="1"/>
  <c r="O324" i="1"/>
  <c r="O318" i="1"/>
  <c r="O312" i="1"/>
  <c r="O306" i="1"/>
  <c r="O300" i="1"/>
  <c r="O294" i="1"/>
  <c r="O288" i="1"/>
  <c r="O282" i="1"/>
  <c r="O276" i="1"/>
  <c r="O270" i="1"/>
  <c r="O264" i="1"/>
  <c r="O258" i="1"/>
  <c r="O252" i="1"/>
  <c r="O246" i="1"/>
  <c r="O240" i="1"/>
  <c r="O234" i="1"/>
  <c r="O228" i="1"/>
  <c r="O222" i="1"/>
  <c r="O216" i="1"/>
  <c r="O210" i="1"/>
  <c r="O204" i="1"/>
  <c r="O198" i="1"/>
  <c r="O192" i="1"/>
  <c r="O186" i="1"/>
  <c r="O180" i="1"/>
  <c r="O174" i="1"/>
  <c r="O168" i="1"/>
  <c r="O162" i="1"/>
  <c r="O156" i="1"/>
  <c r="O150" i="1"/>
  <c r="O144" i="1"/>
  <c r="O138" i="1"/>
  <c r="O132" i="1"/>
  <c r="O126" i="1"/>
  <c r="O120" i="1"/>
  <c r="O114" i="1"/>
  <c r="O108" i="1"/>
  <c r="O102" i="1"/>
  <c r="O96" i="1"/>
  <c r="O90" i="1"/>
  <c r="O84" i="1"/>
  <c r="O78" i="1"/>
  <c r="O72" i="1"/>
  <c r="O66" i="1"/>
  <c r="O60" i="1"/>
  <c r="O54" i="1"/>
  <c r="O48" i="1"/>
  <c r="O42" i="1"/>
  <c r="O36" i="1"/>
  <c r="O30" i="1"/>
  <c r="O24" i="1"/>
  <c r="O18" i="1"/>
  <c r="O5" i="1"/>
  <c r="O307" i="1"/>
  <c r="O289" i="1"/>
  <c r="O259" i="1"/>
  <c r="O235" i="1"/>
  <c r="O211" i="1"/>
  <c r="O193" i="1"/>
  <c r="O181" i="1"/>
  <c r="O311" i="1"/>
  <c r="O305" i="1"/>
  <c r="O299" i="1"/>
  <c r="O293" i="1"/>
  <c r="O287" i="1"/>
  <c r="O281" i="1"/>
  <c r="O275" i="1"/>
  <c r="O269" i="1"/>
  <c r="O263" i="1"/>
  <c r="O257" i="1"/>
  <c r="O251" i="1"/>
  <c r="O245" i="1"/>
  <c r="O239" i="1"/>
  <c r="O233" i="1"/>
  <c r="O227" i="1"/>
  <c r="O221" i="1"/>
  <c r="O215" i="1"/>
  <c r="O209" i="1"/>
  <c r="O203" i="1"/>
  <c r="O197" i="1"/>
  <c r="O191" i="1"/>
  <c r="O185" i="1"/>
  <c r="O179" i="1"/>
  <c r="O173" i="1"/>
  <c r="O167" i="1"/>
  <c r="O161" i="1"/>
  <c r="O155" i="1"/>
  <c r="O149" i="1"/>
  <c r="O143" i="1"/>
  <c r="O137" i="1"/>
  <c r="O131" i="1"/>
  <c r="O125" i="1"/>
  <c r="O119" i="1"/>
  <c r="O113" i="1"/>
  <c r="O107" i="1"/>
  <c r="O101" i="1"/>
  <c r="O95" i="1"/>
  <c r="O89" i="1"/>
  <c r="O83" i="1"/>
  <c r="O77" i="1"/>
  <c r="O71" i="1"/>
  <c r="O65" i="1"/>
  <c r="O59" i="1"/>
  <c r="O53" i="1"/>
  <c r="O47" i="1"/>
  <c r="O41" i="1"/>
  <c r="O35" i="1"/>
  <c r="O29" i="1"/>
  <c r="O23" i="1"/>
  <c r="O17" i="1"/>
  <c r="O325" i="1"/>
  <c r="O295" i="1"/>
  <c r="O265" i="1"/>
  <c r="O241" i="1"/>
  <c r="O205" i="1"/>
  <c r="O169" i="1"/>
  <c r="O9" i="1"/>
  <c r="O310" i="1"/>
  <c r="O298" i="1"/>
  <c r="O292" i="1"/>
  <c r="O286" i="1"/>
  <c r="O280" i="1"/>
  <c r="O274" i="1"/>
  <c r="O268" i="1"/>
  <c r="O262" i="1"/>
  <c r="O256" i="1"/>
  <c r="O250" i="1"/>
  <c r="O244" i="1"/>
  <c r="O238" i="1"/>
  <c r="O232" i="1"/>
  <c r="O226" i="1"/>
  <c r="O220" i="1"/>
  <c r="O214" i="1"/>
  <c r="O208" i="1"/>
  <c r="O202" i="1"/>
  <c r="O196" i="1"/>
  <c r="O190" i="1"/>
  <c r="O184" i="1"/>
  <c r="O178" i="1"/>
  <c r="O172" i="1"/>
  <c r="O166" i="1"/>
  <c r="O160" i="1"/>
  <c r="O154" i="1"/>
  <c r="O148" i="1"/>
  <c r="O142" i="1"/>
  <c r="O136" i="1"/>
  <c r="O130" i="1"/>
  <c r="O124" i="1"/>
  <c r="O118" i="1"/>
  <c r="O112" i="1"/>
  <c r="O106" i="1"/>
  <c r="O100" i="1"/>
  <c r="O94" i="1"/>
  <c r="O88" i="1"/>
  <c r="O82" i="1"/>
  <c r="O76" i="1"/>
  <c r="O70" i="1"/>
  <c r="O64" i="1"/>
  <c r="O58" i="1"/>
  <c r="O52" i="1"/>
  <c r="O46" i="1"/>
  <c r="O40" i="1"/>
  <c r="O34" i="1"/>
  <c r="O28" i="1"/>
  <c r="O22" i="1"/>
  <c r="O16" i="1"/>
  <c r="O313" i="1"/>
  <c r="O283" i="1"/>
  <c r="O247" i="1"/>
  <c r="O217" i="1"/>
  <c r="O163" i="1"/>
  <c r="O323" i="1"/>
  <c r="O316" i="1"/>
  <c r="O13" i="1"/>
  <c r="O327" i="1"/>
  <c r="O309" i="1"/>
  <c r="O297" i="1"/>
  <c r="O285" i="1"/>
  <c r="O273" i="1"/>
  <c r="O261" i="1"/>
  <c r="O249" i="1"/>
  <c r="O243" i="1"/>
  <c r="O237" i="1"/>
  <c r="O231" i="1"/>
  <c r="O225" i="1"/>
  <c r="O219" i="1"/>
  <c r="O213" i="1"/>
  <c r="O207" i="1"/>
  <c r="O201" i="1"/>
  <c r="O195" i="1"/>
  <c r="O189" i="1"/>
  <c r="O183" i="1"/>
  <c r="O177" i="1"/>
  <c r="O171" i="1"/>
  <c r="O165" i="1"/>
  <c r="O159" i="1"/>
  <c r="O153" i="1"/>
  <c r="O147" i="1"/>
  <c r="O141" i="1"/>
  <c r="O135" i="1"/>
  <c r="O129" i="1"/>
  <c r="O123" i="1"/>
  <c r="O117" i="1"/>
  <c r="O111" i="1"/>
  <c r="O105" i="1"/>
  <c r="O99" i="1"/>
  <c r="O93" i="1"/>
  <c r="O87" i="1"/>
  <c r="O81" i="1"/>
  <c r="O75" i="1"/>
  <c r="O69" i="1"/>
  <c r="O63" i="1"/>
  <c r="O57" i="1"/>
  <c r="O51" i="1"/>
  <c r="O45" i="1"/>
  <c r="O39" i="1"/>
  <c r="O33" i="1"/>
  <c r="O27" i="1"/>
  <c r="O21" i="1"/>
  <c r="O15" i="1"/>
  <c r="O11" i="1"/>
  <c r="O301" i="1"/>
  <c r="O277" i="1"/>
  <c r="O253" i="1"/>
  <c r="O223" i="1"/>
  <c r="O157" i="1"/>
  <c r="O317" i="1"/>
  <c r="O322" i="1"/>
  <c r="O304" i="1"/>
  <c r="O7" i="1"/>
  <c r="O321" i="1"/>
  <c r="O315" i="1"/>
  <c r="O303" i="1"/>
  <c r="O291" i="1"/>
  <c r="O279" i="1"/>
  <c r="O267" i="1"/>
  <c r="O255" i="1"/>
  <c r="O6" i="1"/>
  <c r="O326" i="1"/>
  <c r="O320" i="1"/>
  <c r="O314" i="1"/>
  <c r="O308" i="1"/>
  <c r="O302" i="1"/>
  <c r="O296" i="1"/>
  <c r="O290" i="1"/>
  <c r="O284" i="1"/>
  <c r="O278" i="1"/>
  <c r="O272" i="1"/>
  <c r="O266" i="1"/>
  <c r="O260" i="1"/>
  <c r="O254" i="1"/>
  <c r="O248" i="1"/>
  <c r="O242" i="1"/>
  <c r="O236" i="1"/>
  <c r="O230" i="1"/>
  <c r="O224" i="1"/>
  <c r="O218" i="1"/>
  <c r="O212" i="1"/>
  <c r="O206" i="1"/>
  <c r="O200" i="1"/>
  <c r="O194" i="1"/>
  <c r="O188" i="1"/>
  <c r="O182" i="1"/>
  <c r="O176" i="1"/>
  <c r="O170" i="1"/>
  <c r="O164" i="1"/>
  <c r="O158" i="1"/>
  <c r="O152" i="1"/>
  <c r="O146" i="1"/>
  <c r="O140" i="1"/>
  <c r="O134" i="1"/>
  <c r="O128" i="1"/>
  <c r="O122" i="1"/>
  <c r="O116" i="1"/>
  <c r="O110" i="1"/>
  <c r="O104" i="1"/>
  <c r="O98" i="1"/>
  <c r="O92" i="1"/>
  <c r="O86" i="1"/>
  <c r="O80" i="1"/>
  <c r="O74" i="1"/>
  <c r="O68" i="1"/>
  <c r="O62" i="1"/>
  <c r="O56" i="1"/>
  <c r="O50" i="1"/>
  <c r="O44" i="1"/>
  <c r="O38" i="1"/>
  <c r="O32" i="1"/>
  <c r="O26" i="1"/>
  <c r="O20" i="1"/>
  <c r="O14" i="1"/>
  <c r="N5" i="1"/>
  <c r="M5" i="1"/>
  <c r="M319" i="1"/>
  <c r="N319" i="1"/>
  <c r="M303" i="1"/>
  <c r="N303" i="1"/>
  <c r="M287" i="1"/>
  <c r="N287" i="1"/>
  <c r="N271" i="1"/>
  <c r="M271" i="1"/>
  <c r="N259" i="1"/>
  <c r="M259" i="1"/>
  <c r="N314" i="1"/>
  <c r="M314" i="1"/>
  <c r="M11" i="1"/>
  <c r="N11" i="1"/>
  <c r="M7" i="1"/>
  <c r="N7" i="1"/>
  <c r="M325" i="1"/>
  <c r="N325" i="1"/>
  <c r="M321" i="1"/>
  <c r="N321" i="1"/>
  <c r="M317" i="1"/>
  <c r="N317" i="1"/>
  <c r="N313" i="1"/>
  <c r="M313" i="1"/>
  <c r="M309" i="1"/>
  <c r="N309" i="1"/>
  <c r="M305" i="1"/>
  <c r="N305" i="1"/>
  <c r="M301" i="1"/>
  <c r="N301" i="1"/>
  <c r="N297" i="1"/>
  <c r="M297" i="1"/>
  <c r="M293" i="1"/>
  <c r="N293" i="1"/>
  <c r="N289" i="1"/>
  <c r="M289" i="1"/>
  <c r="N285" i="1"/>
  <c r="M285" i="1"/>
  <c r="N281" i="1"/>
  <c r="M281" i="1"/>
  <c r="N277" i="1"/>
  <c r="M277" i="1"/>
  <c r="M273" i="1"/>
  <c r="N273" i="1"/>
  <c r="N269" i="1"/>
  <c r="M269" i="1"/>
  <c r="N265" i="1"/>
  <c r="M265" i="1"/>
  <c r="N261" i="1"/>
  <c r="M261" i="1"/>
  <c r="M257" i="1"/>
  <c r="N257" i="1"/>
  <c r="N253" i="1"/>
  <c r="M253" i="1"/>
  <c r="N249" i="1"/>
  <c r="M249" i="1"/>
  <c r="N245" i="1"/>
  <c r="M245" i="1"/>
  <c r="M241" i="1"/>
  <c r="N241" i="1"/>
  <c r="N237" i="1"/>
  <c r="M237" i="1"/>
  <c r="N233" i="1"/>
  <c r="M233" i="1"/>
  <c r="N229" i="1"/>
  <c r="M229" i="1"/>
  <c r="N225" i="1"/>
  <c r="M225" i="1"/>
  <c r="N221" i="1"/>
  <c r="M221" i="1"/>
  <c r="M217" i="1"/>
  <c r="N217" i="1"/>
  <c r="N213" i="1"/>
  <c r="M213" i="1"/>
  <c r="N209" i="1"/>
  <c r="M209" i="1"/>
  <c r="N205" i="1"/>
  <c r="M205" i="1"/>
  <c r="M201" i="1"/>
  <c r="N201" i="1"/>
  <c r="N197" i="1"/>
  <c r="M197" i="1"/>
  <c r="N193" i="1"/>
  <c r="M193" i="1"/>
  <c r="N189" i="1"/>
  <c r="M189" i="1"/>
  <c r="M185" i="1"/>
  <c r="N185" i="1"/>
  <c r="N181" i="1"/>
  <c r="M181" i="1"/>
  <c r="M177" i="1"/>
  <c r="N177" i="1"/>
  <c r="N173" i="1"/>
  <c r="M173" i="1"/>
  <c r="M169" i="1"/>
  <c r="N169" i="1"/>
  <c r="N165" i="1"/>
  <c r="M165" i="1"/>
  <c r="N161" i="1"/>
  <c r="M161" i="1"/>
  <c r="N157" i="1"/>
  <c r="M157" i="1"/>
  <c r="M153" i="1"/>
  <c r="N153" i="1"/>
  <c r="M149" i="1"/>
  <c r="N149" i="1"/>
  <c r="N145" i="1"/>
  <c r="M145" i="1"/>
  <c r="M141" i="1"/>
  <c r="N141" i="1"/>
  <c r="N137" i="1"/>
  <c r="M137" i="1"/>
  <c r="M133" i="1"/>
  <c r="N133" i="1"/>
  <c r="M129" i="1"/>
  <c r="N129" i="1"/>
  <c r="M125" i="1"/>
  <c r="N125" i="1"/>
  <c r="M121" i="1"/>
  <c r="N121" i="1"/>
  <c r="N117" i="1"/>
  <c r="M117" i="1"/>
  <c r="N113" i="1"/>
  <c r="M113" i="1"/>
  <c r="N109" i="1"/>
  <c r="M109" i="1"/>
  <c r="N105" i="1"/>
  <c r="M105" i="1"/>
  <c r="N101" i="1"/>
  <c r="M101" i="1"/>
  <c r="N97" i="1"/>
  <c r="M97" i="1"/>
  <c r="N93" i="1"/>
  <c r="M93" i="1"/>
  <c r="M89" i="1"/>
  <c r="N89" i="1"/>
  <c r="N85" i="1"/>
  <c r="M85" i="1"/>
  <c r="N81" i="1"/>
  <c r="M81" i="1"/>
  <c r="N77" i="1"/>
  <c r="M77" i="1"/>
  <c r="N73" i="1"/>
  <c r="M73" i="1"/>
  <c r="N69" i="1"/>
  <c r="M69" i="1"/>
  <c r="M65" i="1"/>
  <c r="N65" i="1"/>
  <c r="N61" i="1"/>
  <c r="M61" i="1"/>
  <c r="M57" i="1"/>
  <c r="N57" i="1"/>
  <c r="M53" i="1"/>
  <c r="N53" i="1"/>
  <c r="N49" i="1"/>
  <c r="M49" i="1"/>
  <c r="M45" i="1"/>
  <c r="N45" i="1"/>
  <c r="N41" i="1"/>
  <c r="M41" i="1"/>
  <c r="M37" i="1"/>
  <c r="N37" i="1"/>
  <c r="M33" i="1"/>
  <c r="N33" i="1"/>
  <c r="N29" i="1"/>
  <c r="M29" i="1"/>
  <c r="N25" i="1"/>
  <c r="M25" i="1"/>
  <c r="N21" i="1"/>
  <c r="M21" i="1"/>
  <c r="M17" i="1"/>
  <c r="N17" i="1"/>
  <c r="N315" i="1"/>
  <c r="M315" i="1"/>
  <c r="N299" i="1"/>
  <c r="M299" i="1"/>
  <c r="M275" i="1"/>
  <c r="N275" i="1"/>
  <c r="N247" i="1"/>
  <c r="M247" i="1"/>
  <c r="M326" i="1"/>
  <c r="N326" i="1"/>
  <c r="M318" i="1"/>
  <c r="N318" i="1"/>
  <c r="M10" i="1"/>
  <c r="N10" i="1"/>
  <c r="N6" i="1"/>
  <c r="M6" i="1"/>
  <c r="M324" i="1"/>
  <c r="N324" i="1"/>
  <c r="N320" i="1"/>
  <c r="M320" i="1"/>
  <c r="M316" i="1"/>
  <c r="N316" i="1"/>
  <c r="M312" i="1"/>
  <c r="N312" i="1"/>
  <c r="M308" i="1"/>
  <c r="N308" i="1"/>
  <c r="M304" i="1"/>
  <c r="N304" i="1"/>
  <c r="M300" i="1"/>
  <c r="N300" i="1"/>
  <c r="M296" i="1"/>
  <c r="N296" i="1"/>
  <c r="M292" i="1"/>
  <c r="N292" i="1"/>
  <c r="N288" i="1"/>
  <c r="M288" i="1"/>
  <c r="N284" i="1"/>
  <c r="M284" i="1"/>
  <c r="N280" i="1"/>
  <c r="M280" i="1"/>
  <c r="N276" i="1"/>
  <c r="M276" i="1"/>
  <c r="M272" i="1"/>
  <c r="N272" i="1"/>
  <c r="N268" i="1"/>
  <c r="M268" i="1"/>
  <c r="N264" i="1"/>
  <c r="M264" i="1"/>
  <c r="M260" i="1"/>
  <c r="N260" i="1"/>
  <c r="N256" i="1"/>
  <c r="M256" i="1"/>
  <c r="N252" i="1"/>
  <c r="M252" i="1"/>
  <c r="N248" i="1"/>
  <c r="M248" i="1"/>
  <c r="M244" i="1"/>
  <c r="N244" i="1"/>
  <c r="N240" i="1"/>
  <c r="M240" i="1"/>
  <c r="N236" i="1"/>
  <c r="M236" i="1"/>
  <c r="M232" i="1"/>
  <c r="N232" i="1"/>
  <c r="M228" i="1"/>
  <c r="N228" i="1"/>
  <c r="N224" i="1"/>
  <c r="M224" i="1"/>
  <c r="N220" i="1"/>
  <c r="M220" i="1"/>
  <c r="M216" i="1"/>
  <c r="N216" i="1"/>
  <c r="M212" i="1"/>
  <c r="N212" i="1"/>
  <c r="N208" i="1"/>
  <c r="M208" i="1"/>
  <c r="M204" i="1"/>
  <c r="N204" i="1"/>
  <c r="N200" i="1"/>
  <c r="M200" i="1"/>
  <c r="N196" i="1"/>
  <c r="M196" i="1"/>
  <c r="M192" i="1"/>
  <c r="N192" i="1"/>
  <c r="N188" i="1"/>
  <c r="M188" i="1"/>
  <c r="N184" i="1"/>
  <c r="M184" i="1"/>
  <c r="M180" i="1"/>
  <c r="N180" i="1"/>
  <c r="N176" i="1"/>
  <c r="M176" i="1"/>
  <c r="N172" i="1"/>
  <c r="M172" i="1"/>
  <c r="N168" i="1"/>
  <c r="M168" i="1"/>
  <c r="N164" i="1"/>
  <c r="M164" i="1"/>
  <c r="M160" i="1"/>
  <c r="N160" i="1"/>
  <c r="N156" i="1"/>
  <c r="M156" i="1"/>
  <c r="M152" i="1"/>
  <c r="N152" i="1"/>
  <c r="M148" i="1"/>
  <c r="N148" i="1"/>
  <c r="N144" i="1"/>
  <c r="M144" i="1"/>
  <c r="N140" i="1"/>
  <c r="M140" i="1"/>
  <c r="M136" i="1"/>
  <c r="N136" i="1"/>
  <c r="N132" i="1"/>
  <c r="M132" i="1"/>
  <c r="M128" i="1"/>
  <c r="N128" i="1"/>
  <c r="N124" i="1"/>
  <c r="M124" i="1"/>
  <c r="N120" i="1"/>
  <c r="M120" i="1"/>
  <c r="M116" i="1"/>
  <c r="N116" i="1"/>
  <c r="N112" i="1"/>
  <c r="M112" i="1"/>
  <c r="M108" i="1"/>
  <c r="N108" i="1"/>
  <c r="N104" i="1"/>
  <c r="M104" i="1"/>
  <c r="N100" i="1"/>
  <c r="M100" i="1"/>
  <c r="M96" i="1"/>
  <c r="N96" i="1"/>
  <c r="M92" i="1"/>
  <c r="N92" i="1"/>
  <c r="M88" i="1"/>
  <c r="N88" i="1"/>
  <c r="M84" i="1"/>
  <c r="N84" i="1"/>
  <c r="N80" i="1"/>
  <c r="M80" i="1"/>
  <c r="N76" i="1"/>
  <c r="M76" i="1"/>
  <c r="N72" i="1"/>
  <c r="M72" i="1"/>
  <c r="N68" i="1"/>
  <c r="M68" i="1"/>
  <c r="M64" i="1"/>
  <c r="N64" i="1"/>
  <c r="N60" i="1"/>
  <c r="M60" i="1"/>
  <c r="N56" i="1"/>
  <c r="M56" i="1"/>
  <c r="M52" i="1"/>
  <c r="N52" i="1"/>
  <c r="N48" i="1"/>
  <c r="M48" i="1"/>
  <c r="M44" i="1"/>
  <c r="N44" i="1"/>
  <c r="N40" i="1"/>
  <c r="M40" i="1"/>
  <c r="N36" i="1"/>
  <c r="M36" i="1"/>
  <c r="M32" i="1"/>
  <c r="N32" i="1"/>
  <c r="N28" i="1"/>
  <c r="M28" i="1"/>
  <c r="M24" i="1"/>
  <c r="N24" i="1"/>
  <c r="M20" i="1"/>
  <c r="N20" i="1"/>
  <c r="N16" i="1"/>
  <c r="M16" i="1"/>
  <c r="N13" i="1"/>
  <c r="M13" i="1"/>
  <c r="N327" i="1"/>
  <c r="M327" i="1"/>
  <c r="N311" i="1"/>
  <c r="M311" i="1"/>
  <c r="N291" i="1"/>
  <c r="M291" i="1"/>
  <c r="M279" i="1"/>
  <c r="N279" i="1"/>
  <c r="N263" i="1"/>
  <c r="M263" i="1"/>
  <c r="N255" i="1"/>
  <c r="M255" i="1"/>
  <c r="N243" i="1"/>
  <c r="M243" i="1"/>
  <c r="N239" i="1"/>
  <c r="M239" i="1"/>
  <c r="M235" i="1"/>
  <c r="N235" i="1"/>
  <c r="N231" i="1"/>
  <c r="M231" i="1"/>
  <c r="N227" i="1"/>
  <c r="M227" i="1"/>
  <c r="N223" i="1"/>
  <c r="M223" i="1"/>
  <c r="M219" i="1"/>
  <c r="N219" i="1"/>
  <c r="N215" i="1"/>
  <c r="M215" i="1"/>
  <c r="N211" i="1"/>
  <c r="M211" i="1"/>
  <c r="N207" i="1"/>
  <c r="M207" i="1"/>
  <c r="N203" i="1"/>
  <c r="M203" i="1"/>
  <c r="M199" i="1"/>
  <c r="N199" i="1"/>
  <c r="N195" i="1"/>
  <c r="M195" i="1"/>
  <c r="N191" i="1"/>
  <c r="M191" i="1"/>
  <c r="N187" i="1"/>
  <c r="M187" i="1"/>
  <c r="N183" i="1"/>
  <c r="M183" i="1"/>
  <c r="N179" i="1"/>
  <c r="M179" i="1"/>
  <c r="N175" i="1"/>
  <c r="M175" i="1"/>
  <c r="N171" i="1"/>
  <c r="M171" i="1"/>
  <c r="N167" i="1"/>
  <c r="M167" i="1"/>
  <c r="N163" i="1"/>
  <c r="M163" i="1"/>
  <c r="M159" i="1"/>
  <c r="N159" i="1"/>
  <c r="N155" i="1"/>
  <c r="M155" i="1"/>
  <c r="M151" i="1"/>
  <c r="N151" i="1"/>
  <c r="N147" i="1"/>
  <c r="M147" i="1"/>
  <c r="M143" i="1"/>
  <c r="N143" i="1"/>
  <c r="N139" i="1"/>
  <c r="M139" i="1"/>
  <c r="M135" i="1"/>
  <c r="N135" i="1"/>
  <c r="M131" i="1"/>
  <c r="N131" i="1"/>
  <c r="N127" i="1"/>
  <c r="M127" i="1"/>
  <c r="N123" i="1"/>
  <c r="M123" i="1"/>
  <c r="N119" i="1"/>
  <c r="M119" i="1"/>
  <c r="N115" i="1"/>
  <c r="M115" i="1"/>
  <c r="N111" i="1"/>
  <c r="M111" i="1"/>
  <c r="N107" i="1"/>
  <c r="M107" i="1"/>
  <c r="N103" i="1"/>
  <c r="M103" i="1"/>
  <c r="M99" i="1"/>
  <c r="N99" i="1"/>
  <c r="N95" i="1"/>
  <c r="M95" i="1"/>
  <c r="M91" i="1"/>
  <c r="N91" i="1"/>
  <c r="N87" i="1"/>
  <c r="M87" i="1"/>
  <c r="M83" i="1"/>
  <c r="N83" i="1"/>
  <c r="N79" i="1"/>
  <c r="M79" i="1"/>
  <c r="M75" i="1"/>
  <c r="N75" i="1"/>
  <c r="N71" i="1"/>
  <c r="M71" i="1"/>
  <c r="M67" i="1"/>
  <c r="N67" i="1"/>
  <c r="N63" i="1"/>
  <c r="M63" i="1"/>
  <c r="N59" i="1"/>
  <c r="M59" i="1"/>
  <c r="N55" i="1"/>
  <c r="M55" i="1"/>
  <c r="N51" i="1"/>
  <c r="M51" i="1"/>
  <c r="N47" i="1"/>
  <c r="M47" i="1"/>
  <c r="N43" i="1"/>
  <c r="M43" i="1"/>
  <c r="M39" i="1"/>
  <c r="N39" i="1"/>
  <c r="M35" i="1"/>
  <c r="N35" i="1"/>
  <c r="N31" i="1"/>
  <c r="M31" i="1"/>
  <c r="N27" i="1"/>
  <c r="M27" i="1"/>
  <c r="N23" i="1"/>
  <c r="M23" i="1"/>
  <c r="M19" i="1"/>
  <c r="N19" i="1"/>
  <c r="N15" i="1"/>
  <c r="M15" i="1"/>
  <c r="N9" i="1"/>
  <c r="M9" i="1"/>
  <c r="N323" i="1"/>
  <c r="M323" i="1"/>
  <c r="M307" i="1"/>
  <c r="N307" i="1"/>
  <c r="N295" i="1"/>
  <c r="M295" i="1"/>
  <c r="N283" i="1"/>
  <c r="M283" i="1"/>
  <c r="M267" i="1"/>
  <c r="N267" i="1"/>
  <c r="M251" i="1"/>
  <c r="N251" i="1"/>
  <c r="N322" i="1"/>
  <c r="M322" i="1"/>
  <c r="N310" i="1"/>
  <c r="M310" i="1"/>
  <c r="N306" i="1"/>
  <c r="M306" i="1"/>
  <c r="M302" i="1"/>
  <c r="N302" i="1"/>
  <c r="M298" i="1"/>
  <c r="N298" i="1"/>
  <c r="N294" i="1"/>
  <c r="M294" i="1"/>
  <c r="M290" i="1"/>
  <c r="N290" i="1"/>
  <c r="N286" i="1"/>
  <c r="M286" i="1"/>
  <c r="N282" i="1"/>
  <c r="M282" i="1"/>
  <c r="N278" i="1"/>
  <c r="M278" i="1"/>
  <c r="N274" i="1"/>
  <c r="M274" i="1"/>
  <c r="M270" i="1"/>
  <c r="N270" i="1"/>
  <c r="N266" i="1"/>
  <c r="M266" i="1"/>
  <c r="M262" i="1"/>
  <c r="N262" i="1"/>
  <c r="N258" i="1"/>
  <c r="M258" i="1"/>
  <c r="M254" i="1"/>
  <c r="N254" i="1"/>
  <c r="N250" i="1"/>
  <c r="M250" i="1"/>
  <c r="M246" i="1"/>
  <c r="N246" i="1"/>
  <c r="N242" i="1"/>
  <c r="M242" i="1"/>
  <c r="M238" i="1"/>
  <c r="N238" i="1"/>
  <c r="N234" i="1"/>
  <c r="M234" i="1"/>
  <c r="M230" i="1"/>
  <c r="N230" i="1"/>
  <c r="N226" i="1"/>
  <c r="M226" i="1"/>
  <c r="M222" i="1"/>
  <c r="N222" i="1"/>
  <c r="N218" i="1"/>
  <c r="M218" i="1"/>
  <c r="M214" i="1"/>
  <c r="N214" i="1"/>
  <c r="N210" i="1"/>
  <c r="M210" i="1"/>
  <c r="M206" i="1"/>
  <c r="N206" i="1"/>
  <c r="N202" i="1"/>
  <c r="M202" i="1"/>
  <c r="M198" i="1"/>
  <c r="N198" i="1"/>
  <c r="N194" i="1"/>
  <c r="M194" i="1"/>
  <c r="M190" i="1"/>
  <c r="N190" i="1"/>
  <c r="N186" i="1"/>
  <c r="M186" i="1"/>
  <c r="M182" i="1"/>
  <c r="N182" i="1"/>
  <c r="N178" i="1"/>
  <c r="M178" i="1"/>
  <c r="M174" i="1"/>
  <c r="N174" i="1"/>
  <c r="M170" i="1"/>
  <c r="N170" i="1"/>
  <c r="N166" i="1"/>
  <c r="M166" i="1"/>
  <c r="N162" i="1"/>
  <c r="M162" i="1"/>
  <c r="M158" i="1"/>
  <c r="N158" i="1"/>
  <c r="N154" i="1"/>
  <c r="M154" i="1"/>
  <c r="N150" i="1"/>
  <c r="M150" i="1"/>
  <c r="N146" i="1"/>
  <c r="M146" i="1"/>
  <c r="M142" i="1"/>
  <c r="N142" i="1"/>
  <c r="M138" i="1"/>
  <c r="N138" i="1"/>
  <c r="M134" i="1"/>
  <c r="N134" i="1"/>
  <c r="N130" i="1"/>
  <c r="M130" i="1"/>
  <c r="N126" i="1"/>
  <c r="M126" i="1"/>
  <c r="N122" i="1"/>
  <c r="M122" i="1"/>
  <c r="M118" i="1"/>
  <c r="N118" i="1"/>
  <c r="N114" i="1"/>
  <c r="M114" i="1"/>
  <c r="M110" i="1"/>
  <c r="N110" i="1"/>
  <c r="M106" i="1"/>
  <c r="N106" i="1"/>
  <c r="N102" i="1"/>
  <c r="M102" i="1"/>
  <c r="N98" i="1"/>
  <c r="M98" i="1"/>
  <c r="N94" i="1"/>
  <c r="M94" i="1"/>
  <c r="N90" i="1"/>
  <c r="M90" i="1"/>
  <c r="M86" i="1"/>
  <c r="N86" i="1"/>
  <c r="N82" i="1"/>
  <c r="M82" i="1"/>
  <c r="M78" i="1"/>
  <c r="N78" i="1"/>
  <c r="M74" i="1"/>
  <c r="N74" i="1"/>
  <c r="N70" i="1"/>
  <c r="M70" i="1"/>
  <c r="N66" i="1"/>
  <c r="M66" i="1"/>
  <c r="N62" i="1"/>
  <c r="M62" i="1"/>
  <c r="N58" i="1"/>
  <c r="M58" i="1"/>
  <c r="M54" i="1"/>
  <c r="N54" i="1"/>
  <c r="N50" i="1"/>
  <c r="M50" i="1"/>
  <c r="M46" i="1"/>
  <c r="N46" i="1"/>
  <c r="M42" i="1"/>
  <c r="N42" i="1"/>
  <c r="N38" i="1"/>
  <c r="M38" i="1"/>
  <c r="N34" i="1"/>
  <c r="M34" i="1"/>
  <c r="M30" i="1"/>
  <c r="N30" i="1"/>
  <c r="N26" i="1"/>
  <c r="M26" i="1"/>
  <c r="N22" i="1"/>
  <c r="M22" i="1"/>
  <c r="N18" i="1"/>
  <c r="M18" i="1"/>
  <c r="M14" i="1"/>
  <c r="N14" i="1"/>
  <c r="K8" i="1"/>
  <c r="K12" i="1"/>
  <c r="K4" i="1"/>
  <c r="J328" i="1"/>
  <c r="J332" i="1" s="1"/>
  <c r="I328" i="1"/>
  <c r="K3" i="1"/>
  <c r="H328" i="1"/>
  <c r="H332" i="1" s="1"/>
  <c r="Q3" i="1" l="1"/>
  <c r="V3" i="1"/>
  <c r="Q4" i="1"/>
  <c r="V4" i="1"/>
  <c r="Q12" i="1"/>
  <c r="V12" i="1"/>
  <c r="Q8" i="1"/>
  <c r="V8" i="1"/>
  <c r="O8" i="1"/>
  <c r="O4" i="1"/>
  <c r="O12" i="1"/>
  <c r="L334" i="1"/>
  <c r="O3" i="1"/>
  <c r="N8" i="1"/>
  <c r="M8" i="1"/>
  <c r="N12" i="1"/>
  <c r="M12" i="1"/>
  <c r="N4" i="1"/>
  <c r="M4" i="1"/>
  <c r="N3" i="1"/>
  <c r="M3" i="1"/>
  <c r="K328" i="1"/>
  <c r="L336" i="1" l="1"/>
  <c r="L337" i="1"/>
</calcChain>
</file>

<file path=xl/sharedStrings.xml><?xml version="1.0" encoding="utf-8"?>
<sst xmlns="http://schemas.openxmlformats.org/spreadsheetml/2006/main" count="3288" uniqueCount="1028">
  <si>
    <t>11</t>
  </si>
  <si>
    <t>0018</t>
  </si>
  <si>
    <t>Adair-Casey</t>
  </si>
  <si>
    <t>0027</t>
  </si>
  <si>
    <t>Adel-Desoto-Minburn</t>
  </si>
  <si>
    <t>07</t>
  </si>
  <si>
    <t>0009</t>
  </si>
  <si>
    <t>AGWSR</t>
  </si>
  <si>
    <t>13</t>
  </si>
  <si>
    <t>0441</t>
  </si>
  <si>
    <t>AHSTW</t>
  </si>
  <si>
    <t>12</t>
  </si>
  <si>
    <t>0063</t>
  </si>
  <si>
    <t>Akron-Westfield</t>
  </si>
  <si>
    <t>05</t>
  </si>
  <si>
    <t>0072</t>
  </si>
  <si>
    <t>Albert City-Truesdale</t>
  </si>
  <si>
    <t>15</t>
  </si>
  <si>
    <t>0081</t>
  </si>
  <si>
    <t>Albia</t>
  </si>
  <si>
    <t>10</t>
  </si>
  <si>
    <t>0099</t>
  </si>
  <si>
    <t>Alburnett</t>
  </si>
  <si>
    <t>0108</t>
  </si>
  <si>
    <t>Alden</t>
  </si>
  <si>
    <t>0126</t>
  </si>
  <si>
    <t>Algona</t>
  </si>
  <si>
    <t>6417</t>
  </si>
  <si>
    <t>01</t>
  </si>
  <si>
    <t>0135</t>
  </si>
  <si>
    <t>Allamakee</t>
  </si>
  <si>
    <t>0171</t>
  </si>
  <si>
    <t>Alta-Aurelia</t>
  </si>
  <si>
    <t>0225</t>
  </si>
  <si>
    <t>Ames</t>
  </si>
  <si>
    <t>0234</t>
  </si>
  <si>
    <t>Anamosa</t>
  </si>
  <si>
    <t>09</t>
  </si>
  <si>
    <t>0243</t>
  </si>
  <si>
    <t>Andrew</t>
  </si>
  <si>
    <t>0261</t>
  </si>
  <si>
    <t>Ankeny</t>
  </si>
  <si>
    <t>0279</t>
  </si>
  <si>
    <t>Aplington-Parkersburg</t>
  </si>
  <si>
    <t>0355</t>
  </si>
  <si>
    <t>Ar-We-Va</t>
  </si>
  <si>
    <t>0387</t>
  </si>
  <si>
    <t>Atlantic</t>
  </si>
  <si>
    <t>0414</t>
  </si>
  <si>
    <t>Audubon</t>
  </si>
  <si>
    <t>0472</t>
  </si>
  <si>
    <t>Ballard</t>
  </si>
  <si>
    <t>0513</t>
  </si>
  <si>
    <t>Baxter</t>
  </si>
  <si>
    <t>0540</t>
  </si>
  <si>
    <t>BCLUW</t>
  </si>
  <si>
    <t>0549</t>
  </si>
  <si>
    <t>Bedford</t>
  </si>
  <si>
    <t>0576</t>
  </si>
  <si>
    <t>Belle Plaine</t>
  </si>
  <si>
    <t>0585</t>
  </si>
  <si>
    <t>Bellevue</t>
  </si>
  <si>
    <t>0594</t>
  </si>
  <si>
    <t>Belmond-Klemme</t>
  </si>
  <si>
    <t>0603</t>
  </si>
  <si>
    <t>Bennett</t>
  </si>
  <si>
    <t>0609</t>
  </si>
  <si>
    <t>Benton</t>
  </si>
  <si>
    <t>0621</t>
  </si>
  <si>
    <t>Bettendorf</t>
  </si>
  <si>
    <t>0720</t>
  </si>
  <si>
    <t>Bondurant-Farrar</t>
  </si>
  <si>
    <t>0729</t>
  </si>
  <si>
    <t>Boone</t>
  </si>
  <si>
    <t>0747</t>
  </si>
  <si>
    <t>Boyden-Hull</t>
  </si>
  <si>
    <t>1917</t>
  </si>
  <si>
    <t>Boyer Valley</t>
  </si>
  <si>
    <t>0846</t>
  </si>
  <si>
    <t>Brooklyn-Guernsey-Malcom</t>
  </si>
  <si>
    <t>0882</t>
  </si>
  <si>
    <t>Burlington</t>
  </si>
  <si>
    <t>0916</t>
  </si>
  <si>
    <t>CAL</t>
  </si>
  <si>
    <t>0918</t>
  </si>
  <si>
    <t>Calamus-Wheatland</t>
  </si>
  <si>
    <t>0914</t>
  </si>
  <si>
    <t>CAM</t>
  </si>
  <si>
    <t>0936</t>
  </si>
  <si>
    <t>Camanche</t>
  </si>
  <si>
    <t>0977</t>
  </si>
  <si>
    <t>Cardinal</t>
  </si>
  <si>
    <t>0981</t>
  </si>
  <si>
    <t>Carlisle</t>
  </si>
  <si>
    <t>0999</t>
  </si>
  <si>
    <t>Carroll</t>
  </si>
  <si>
    <t>1044</t>
  </si>
  <si>
    <t>Cedar Falls</t>
  </si>
  <si>
    <t>1053</t>
  </si>
  <si>
    <t>Cedar Rapids</t>
  </si>
  <si>
    <t>1062</t>
  </si>
  <si>
    <t>Center Point-Urbana</t>
  </si>
  <si>
    <t>1071</t>
  </si>
  <si>
    <t>Centerville</t>
  </si>
  <si>
    <t>1089</t>
  </si>
  <si>
    <t>Central City</t>
  </si>
  <si>
    <t>1080</t>
  </si>
  <si>
    <t>Central Clayton</t>
  </si>
  <si>
    <t>1082</t>
  </si>
  <si>
    <t>Central De Witt</t>
  </si>
  <si>
    <t>1093</t>
  </si>
  <si>
    <t>Central Decatur</t>
  </si>
  <si>
    <t>1079</t>
  </si>
  <si>
    <t>Central Lee</t>
  </si>
  <si>
    <t>1095</t>
  </si>
  <si>
    <t>Central Lyon</t>
  </si>
  <si>
    <t>4772</t>
  </si>
  <si>
    <t>Central Springs</t>
  </si>
  <si>
    <t>1107</t>
  </si>
  <si>
    <t>Chariton</t>
  </si>
  <si>
    <t>1116</t>
  </si>
  <si>
    <t>Charles City</t>
  </si>
  <si>
    <t>1134</t>
  </si>
  <si>
    <t>Charter Oak-Ute</t>
  </si>
  <si>
    <t>1152</t>
  </si>
  <si>
    <t>Cherokee</t>
  </si>
  <si>
    <t>1197</t>
  </si>
  <si>
    <t>Clarinda</t>
  </si>
  <si>
    <t>1206</t>
  </si>
  <si>
    <t>Clarion-Goldfield-Dows</t>
  </si>
  <si>
    <t>1854</t>
  </si>
  <si>
    <t>1211</t>
  </si>
  <si>
    <t>Clarke</t>
  </si>
  <si>
    <t>1215</t>
  </si>
  <si>
    <t>Clarksville</t>
  </si>
  <si>
    <t>1218</t>
  </si>
  <si>
    <t>Clay Central-Everly</t>
  </si>
  <si>
    <t>2763</t>
  </si>
  <si>
    <t>Clayton Ridge</t>
  </si>
  <si>
    <t>1221</t>
  </si>
  <si>
    <t>Clear Creek-Amana</t>
  </si>
  <si>
    <t>0216</t>
  </si>
  <si>
    <t>1233</t>
  </si>
  <si>
    <t>Clear Lake</t>
  </si>
  <si>
    <t>1278</t>
  </si>
  <si>
    <t>Clinton</t>
  </si>
  <si>
    <t>1332</t>
  </si>
  <si>
    <t>Colfax-Mingo</t>
  </si>
  <si>
    <t>1337</t>
  </si>
  <si>
    <t>College Community</t>
  </si>
  <si>
    <t>1350</t>
  </si>
  <si>
    <t>Collins-Maxwell</t>
  </si>
  <si>
    <t>1359</t>
  </si>
  <si>
    <t>Colo-Nesco</t>
  </si>
  <si>
    <t>1368</t>
  </si>
  <si>
    <t>Columbus</t>
  </si>
  <si>
    <t>1413</t>
  </si>
  <si>
    <t>Coon Rapids-Bayard</t>
  </si>
  <si>
    <t>1431</t>
  </si>
  <si>
    <t>Corning</t>
  </si>
  <si>
    <t>1476</t>
  </si>
  <si>
    <t>Council Bluffs</t>
  </si>
  <si>
    <t>1503</t>
  </si>
  <si>
    <t>Creston</t>
  </si>
  <si>
    <t>1576</t>
  </si>
  <si>
    <t>Dallas Center-Grimes</t>
  </si>
  <si>
    <t>1602</t>
  </si>
  <si>
    <t>Danville</t>
  </si>
  <si>
    <t>1611</t>
  </si>
  <si>
    <t>Davenport</t>
  </si>
  <si>
    <t>1619</t>
  </si>
  <si>
    <t>Davis County</t>
  </si>
  <si>
    <t>1638</t>
  </si>
  <si>
    <t>Decorah</t>
  </si>
  <si>
    <t>1675</t>
  </si>
  <si>
    <t>Delwood</t>
  </si>
  <si>
    <t>1701</t>
  </si>
  <si>
    <t>Denison</t>
  </si>
  <si>
    <t>1719</t>
  </si>
  <si>
    <t>Denver</t>
  </si>
  <si>
    <t>1737</t>
  </si>
  <si>
    <t>Des Moines</t>
  </si>
  <si>
    <t>1782</t>
  </si>
  <si>
    <t>Diagonal</t>
  </si>
  <si>
    <t>1791</t>
  </si>
  <si>
    <t>Dike-New Hartford</t>
  </si>
  <si>
    <t>1863</t>
  </si>
  <si>
    <t>Dubuque</t>
  </si>
  <si>
    <t>1908</t>
  </si>
  <si>
    <t>Dunkerton</t>
  </si>
  <si>
    <t>1926</t>
  </si>
  <si>
    <t>Durant</t>
  </si>
  <si>
    <t>1944</t>
  </si>
  <si>
    <t>Eagle Grove</t>
  </si>
  <si>
    <t>1953</t>
  </si>
  <si>
    <t>Earlham</t>
  </si>
  <si>
    <t>1963</t>
  </si>
  <si>
    <t>East Buchanan</t>
  </si>
  <si>
    <t>3582</t>
  </si>
  <si>
    <t>1968</t>
  </si>
  <si>
    <t>East Marshall</t>
  </si>
  <si>
    <t>3978</t>
  </si>
  <si>
    <t>East Mills</t>
  </si>
  <si>
    <t>6741</t>
  </si>
  <si>
    <t>East Sac County</t>
  </si>
  <si>
    <t>1970</t>
  </si>
  <si>
    <t>East Union</t>
  </si>
  <si>
    <t>1972</t>
  </si>
  <si>
    <t>Eastern Allamakee</t>
  </si>
  <si>
    <t>1965</t>
  </si>
  <si>
    <t>Easton Valley</t>
  </si>
  <si>
    <t>0657</t>
  </si>
  <si>
    <t>Eddyville-Blakesburg-Fremont</t>
  </si>
  <si>
    <t>1989</t>
  </si>
  <si>
    <t>Edgewood-Colesburg</t>
  </si>
  <si>
    <t>2007</t>
  </si>
  <si>
    <t>Eldora-New Providence</t>
  </si>
  <si>
    <t>2088</t>
  </si>
  <si>
    <t>Emmetsburg</t>
  </si>
  <si>
    <t>2097</t>
  </si>
  <si>
    <t>English Valleys</t>
  </si>
  <si>
    <t>2113</t>
  </si>
  <si>
    <t>Essex</t>
  </si>
  <si>
    <t>2124</t>
  </si>
  <si>
    <t>Estherville-Lincoln Central</t>
  </si>
  <si>
    <t>2151</t>
  </si>
  <si>
    <t>Exira-Elk Horn-Kimballton</t>
  </si>
  <si>
    <t>2169</t>
  </si>
  <si>
    <t>Fairfield</t>
  </si>
  <si>
    <t>2295</t>
  </si>
  <si>
    <t>Forest City</t>
  </si>
  <si>
    <t>2313</t>
  </si>
  <si>
    <t>Fort Dodge</t>
  </si>
  <si>
    <t>2322</t>
  </si>
  <si>
    <t>Fort Madison</t>
  </si>
  <si>
    <t>2369</t>
  </si>
  <si>
    <t>Fremont-Mills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</si>
  <si>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</si>
  <si>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</si>
  <si>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</si>
  <si>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</si>
  <si>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</si>
  <si>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</si>
  <si>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</si>
  <si>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</si>
  <si>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2493</t>
  </si>
  <si>
    <t>Gilmore City-Bradgate</t>
  </si>
  <si>
    <t>2502</t>
  </si>
  <si>
    <t>Gladbrook-Reinbeck</t>
  </si>
  <si>
    <t>2511</t>
  </si>
  <si>
    <t>Glenwood</t>
  </si>
  <si>
    <t>2520</t>
  </si>
  <si>
    <t>Glidden-Ralston</t>
  </si>
  <si>
    <t>2682</t>
  </si>
  <si>
    <t>GMG</t>
  </si>
  <si>
    <t>2556</t>
  </si>
  <si>
    <t>Graettinger-Terril</t>
  </si>
  <si>
    <t>3195</t>
  </si>
  <si>
    <t>Greene County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</si>
  <si>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</si>
  <si>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</si>
  <si>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</si>
  <si>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</si>
  <si>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</si>
  <si>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</si>
  <si>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</si>
  <si>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</si>
  <si>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2772</t>
  </si>
  <si>
    <t>Hamburg</t>
  </si>
  <si>
    <t>2781</t>
  </si>
  <si>
    <t>Hampton-Dumont</t>
  </si>
  <si>
    <t>2826</t>
  </si>
  <si>
    <t>Harlan</t>
  </si>
  <si>
    <t>2846</t>
  </si>
  <si>
    <t>Harris-Lake Park</t>
  </si>
  <si>
    <t>2862</t>
  </si>
  <si>
    <t>Hartley-Melvin-Sanborn</t>
  </si>
  <si>
    <t>2977</t>
  </si>
  <si>
    <t>Highland</t>
  </si>
  <si>
    <t>2988</t>
  </si>
  <si>
    <t>Hinton</t>
  </si>
  <si>
    <t>2766</t>
  </si>
  <si>
    <t>HLV</t>
  </si>
  <si>
    <t>3029</t>
  </si>
  <si>
    <t>Howard-Winneshiek</t>
  </si>
  <si>
    <t>3033</t>
  </si>
  <si>
    <t>Hubbard-Radcliffe</t>
  </si>
  <si>
    <t>3042</t>
  </si>
  <si>
    <t>Hudson</t>
  </si>
  <si>
    <t>3060</t>
  </si>
  <si>
    <t>Humboldt</t>
  </si>
  <si>
    <t>3168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</si>
  <si>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</si>
  <si>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</si>
  <si>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</si>
  <si>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</si>
  <si>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</si>
  <si>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</si>
  <si>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</si>
  <si>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</si>
  <si>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</si>
  <si>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</si>
  <si>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</si>
  <si>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</si>
  <si>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3186</t>
  </si>
  <si>
    <t>Janesville</t>
  </si>
  <si>
    <t>3204</t>
  </si>
  <si>
    <t>Jesup</t>
  </si>
  <si>
    <t>3231</t>
  </si>
  <si>
    <t>Johnston</t>
  </si>
  <si>
    <t>3312</t>
  </si>
  <si>
    <t>Keokuk</t>
  </si>
  <si>
    <t>3330</t>
  </si>
  <si>
    <t>Keota</t>
  </si>
  <si>
    <t>3348</t>
  </si>
  <si>
    <t>Kingsley-Pierson</t>
  </si>
  <si>
    <t>3375</t>
  </si>
  <si>
    <t>Knoxville</t>
  </si>
  <si>
    <t>3420</t>
  </si>
  <si>
    <t>Lake Mills</t>
  </si>
  <si>
    <t>3465</t>
  </si>
  <si>
    <t>Lamoni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</si>
  <si>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</si>
  <si>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</si>
  <si>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</si>
  <si>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</si>
  <si>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</si>
  <si>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</si>
  <si>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</si>
  <si>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</si>
  <si>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</si>
  <si>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</si>
  <si>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</si>
  <si>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</si>
  <si>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</si>
  <si>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</si>
  <si>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</si>
  <si>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</si>
  <si>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</si>
  <si>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</si>
  <si>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</si>
  <si>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</si>
  <si>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</si>
  <si>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3906</t>
  </si>
  <si>
    <t>Lynnville-Sully</t>
  </si>
  <si>
    <t>3942</t>
  </si>
  <si>
    <t>Madrid</t>
  </si>
  <si>
    <t>4023</t>
  </si>
  <si>
    <t>Manson-Northwest Webster</t>
  </si>
  <si>
    <t>4033</t>
  </si>
  <si>
    <t>Maple Valley-Anthon Oto</t>
  </si>
  <si>
    <t>4041</t>
  </si>
  <si>
    <t>Maquoketa</t>
  </si>
  <si>
    <t>4043</t>
  </si>
  <si>
    <t>Maquoketa Valley</t>
  </si>
  <si>
    <t>4068</t>
  </si>
  <si>
    <t>Marcus-Meriden Cleghorn</t>
  </si>
  <si>
    <t>4086</t>
  </si>
  <si>
    <t>Marion</t>
  </si>
  <si>
    <t>4104</t>
  </si>
  <si>
    <t>Marshalltown</t>
  </si>
  <si>
    <t>4122</t>
  </si>
  <si>
    <t>Martensdale-St Marys</t>
  </si>
  <si>
    <t>4131</t>
  </si>
  <si>
    <t>Mason City</t>
  </si>
  <si>
    <t>4203</t>
  </si>
  <si>
    <t>Mediapolis</t>
  </si>
  <si>
    <t>4212</t>
  </si>
  <si>
    <t>Melcher-Dallas</t>
  </si>
  <si>
    <t>4419</t>
  </si>
  <si>
    <t>MFL Mar Mac</t>
  </si>
  <si>
    <t>4269</t>
  </si>
  <si>
    <t>Midland</t>
  </si>
  <si>
    <t>4271</t>
  </si>
  <si>
    <t>Mid-Prairie</t>
  </si>
  <si>
    <t>4356</t>
  </si>
  <si>
    <t>Missouri Valley</t>
  </si>
  <si>
    <t>4149</t>
  </si>
  <si>
    <t>Moc-Floyd Valley</t>
  </si>
  <si>
    <t>4437</t>
  </si>
  <si>
    <t>Montezuma</t>
  </si>
  <si>
    <t>4446</t>
  </si>
  <si>
    <t>Monticello</t>
  </si>
  <si>
    <t>4491</t>
  </si>
  <si>
    <t>Moravia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</si>
  <si>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</si>
  <si>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</si>
  <si>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</si>
  <si>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</si>
  <si>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</si>
  <si>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</si>
  <si>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</si>
  <si>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</si>
  <si>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4536</t>
  </si>
  <si>
    <t>Mount Pleasant</t>
  </si>
  <si>
    <t>4554</t>
  </si>
  <si>
    <t>Mount Vernon</t>
  </si>
  <si>
    <t>4572</t>
  </si>
  <si>
    <t>Murray</t>
  </si>
  <si>
    <t>4581</t>
  </si>
  <si>
    <t>Muscatine</t>
  </si>
  <si>
    <t>4599</t>
  </si>
  <si>
    <t>Nashua-Plainfield</t>
  </si>
  <si>
    <t>4617</t>
  </si>
  <si>
    <t>Nevada</t>
  </si>
  <si>
    <t>4662</t>
  </si>
  <si>
    <t>New Hampton</t>
  </si>
  <si>
    <t>4689</t>
  </si>
  <si>
    <t>New London</t>
  </si>
  <si>
    <t>4644</t>
  </si>
  <si>
    <t>Newell-Fonda</t>
  </si>
  <si>
    <t>4725</t>
  </si>
  <si>
    <t>Newton</t>
  </si>
  <si>
    <t>2673</t>
  </si>
  <si>
    <t>Nodaway Valley</t>
  </si>
  <si>
    <t>0153</t>
  </si>
  <si>
    <t>North Butler</t>
  </si>
  <si>
    <t>3691</t>
  </si>
  <si>
    <t>North Cedar</t>
  </si>
  <si>
    <t>4774</t>
  </si>
  <si>
    <t>North Fayette Valley</t>
  </si>
  <si>
    <t>0873</t>
  </si>
  <si>
    <t>North Iowa</t>
  </si>
  <si>
    <t>4778</t>
  </si>
  <si>
    <t>North Kossuth</t>
  </si>
  <si>
    <t>4777</t>
  </si>
  <si>
    <t>North Linn</t>
  </si>
  <si>
    <t>4776</t>
  </si>
  <si>
    <t>North Mahaska</t>
  </si>
  <si>
    <t>4779</t>
  </si>
  <si>
    <t>North Polk</t>
  </si>
  <si>
    <t>4784</t>
  </si>
  <si>
    <t>North Scott</t>
  </si>
  <si>
    <t>4785</t>
  </si>
  <si>
    <t>North Tama</t>
  </si>
  <si>
    <t>0333</t>
  </si>
  <si>
    <t>North Union</t>
  </si>
  <si>
    <t>4773</t>
  </si>
  <si>
    <t>Northeast</t>
  </si>
  <si>
    <t>4775</t>
  </si>
  <si>
    <t>4788</t>
  </si>
  <si>
    <t>Northwood-Kensett</t>
  </si>
  <si>
    <t>4797</t>
  </si>
  <si>
    <t>Norwalk</t>
  </si>
  <si>
    <t>4860</t>
  </si>
  <si>
    <t>Odebolt Arthur Battle Creek Ida Grove</t>
  </si>
  <si>
    <t>4869</t>
  </si>
  <si>
    <t>Oelwein</t>
  </si>
  <si>
    <t>4878</t>
  </si>
  <si>
    <t>Ogden</t>
  </si>
  <si>
    <t>4890</t>
  </si>
  <si>
    <t>Okoboji</t>
  </si>
  <si>
    <t>4905</t>
  </si>
  <si>
    <t>Olin</t>
  </si>
  <si>
    <t>4978</t>
  </si>
  <si>
    <t>Orient-Macksburg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</si>
  <si>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</si>
  <si>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</si>
  <si>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</si>
  <si>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</si>
  <si>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</si>
  <si>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</si>
  <si>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</si>
  <si>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</si>
  <si>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</si>
  <si>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</si>
  <si>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5319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</si>
  <si>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</si>
  <si>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</si>
  <si>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</si>
  <si>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</si>
  <si>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</si>
  <si>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</si>
  <si>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</si>
  <si>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</si>
  <si>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</si>
  <si>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</si>
  <si>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</si>
  <si>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</si>
  <si>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</si>
  <si>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</si>
  <si>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</si>
  <si>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</si>
  <si>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5323</t>
  </si>
  <si>
    <t>5463</t>
  </si>
  <si>
    <t>Red Oak</t>
  </si>
  <si>
    <t>5486</t>
  </si>
  <si>
    <t>Remsen-Union</t>
  </si>
  <si>
    <t>5508</t>
  </si>
  <si>
    <t>Riceville</t>
  </si>
  <si>
    <t>1975</t>
  </si>
  <si>
    <t>River Valley</t>
  </si>
  <si>
    <t>4824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</si>
  <si>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</si>
  <si>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</si>
  <si>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</si>
  <si>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</si>
  <si>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</si>
  <si>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</si>
  <si>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</si>
  <si>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Rock</t>
  </si>
  <si>
    <t>5724</t>
  </si>
  <si>
    <t>Ruthven-Ayrshire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</si>
  <si>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</si>
  <si>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</si>
  <si>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</si>
  <si>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</si>
  <si>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</si>
  <si>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</si>
  <si>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</si>
  <si>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</si>
  <si>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</si>
  <si>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</si>
  <si>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5949</t>
  </si>
  <si>
    <t>Sheldon</t>
  </si>
  <si>
    <t>5976</t>
  </si>
  <si>
    <t>Shenandoah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</si>
  <si>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</si>
  <si>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</si>
  <si>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</si>
  <si>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</si>
  <si>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</si>
  <si>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</si>
  <si>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</si>
  <si>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</si>
  <si>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6048</t>
  </si>
  <si>
    <t>6035</t>
  </si>
  <si>
    <t>Sioux Central</t>
  </si>
  <si>
    <t>6039</t>
  </si>
  <si>
    <t>Sioux City</t>
  </si>
  <si>
    <t>6093</t>
  </si>
  <si>
    <t>Solon</t>
  </si>
  <si>
    <t>6091</t>
  </si>
  <si>
    <t>South Central Calhoun</t>
  </si>
  <si>
    <t>6095</t>
  </si>
  <si>
    <t>South Hamilton</t>
  </si>
  <si>
    <t>5157</t>
  </si>
  <si>
    <t>6099</t>
  </si>
  <si>
    <t>South O'Brien</t>
  </si>
  <si>
    <t>6097</t>
  </si>
  <si>
    <t>South Page</t>
  </si>
  <si>
    <t>6098</t>
  </si>
  <si>
    <t>South Tama</t>
  </si>
  <si>
    <t>6100</t>
  </si>
  <si>
    <t>South Winneshiek</t>
  </si>
  <si>
    <t>6101</t>
  </si>
  <si>
    <t>Southeast Polk</t>
  </si>
  <si>
    <t>6094</t>
  </si>
  <si>
    <t>Southeast Warren</t>
  </si>
  <si>
    <t>6096</t>
  </si>
  <si>
    <t>6102</t>
  </si>
  <si>
    <t>Spencer</t>
  </si>
  <si>
    <t>6120</t>
  </si>
  <si>
    <t>Spirit Lake</t>
  </si>
  <si>
    <t>6138</t>
  </si>
  <si>
    <t>Springville</t>
  </si>
  <si>
    <t>5751</t>
  </si>
  <si>
    <t>St Ansgar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</si>
  <si>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</si>
  <si>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</si>
  <si>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</si>
  <si>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</si>
  <si>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</si>
  <si>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</si>
  <si>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</si>
  <si>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</si>
  <si>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</si>
  <si>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</si>
  <si>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</si>
  <si>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</si>
  <si>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</si>
  <si>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</si>
  <si>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</si>
  <si>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</si>
  <si>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</si>
  <si>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</si>
  <si>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</si>
  <si>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</si>
  <si>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</si>
  <si>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</si>
  <si>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</si>
  <si>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</si>
  <si>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</si>
  <si>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</si>
  <si>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</si>
  <si>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</si>
  <si>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1935</t>
  </si>
  <si>
    <t>6536</t>
  </si>
  <si>
    <t>Union</t>
  </si>
  <si>
    <t>6561</t>
  </si>
  <si>
    <t>United</t>
  </si>
  <si>
    <t>6579</t>
  </si>
  <si>
    <t>Urbandale</t>
  </si>
  <si>
    <t>6592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</si>
  <si>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</si>
  <si>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</si>
  <si>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</si>
  <si>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</si>
  <si>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</si>
  <si>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</si>
  <si>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</si>
  <si>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</si>
  <si>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6759</t>
  </si>
  <si>
    <t>Wapello</t>
  </si>
  <si>
    <t>6762</t>
  </si>
  <si>
    <t>Wapsie Valley</t>
  </si>
  <si>
    <t>6768</t>
  </si>
  <si>
    <t>Washington</t>
  </si>
  <si>
    <t>6795</t>
  </si>
  <si>
    <t>Waterloo</t>
  </si>
  <si>
    <t>6822</t>
  </si>
  <si>
    <t>Waukee</t>
  </si>
  <si>
    <t>6840</t>
  </si>
  <si>
    <t>Waverly-Shell Rock</t>
  </si>
  <si>
    <t>6854</t>
  </si>
  <si>
    <t>Wayne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</si>
  <si>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</si>
  <si>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</si>
  <si>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</si>
  <si>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</si>
  <si>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</si>
  <si>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</si>
  <si>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</si>
  <si>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</t>
  </si>
  <si>
    <t>6943</t>
  </si>
  <si>
    <t>West Central</t>
  </si>
  <si>
    <t>6264</t>
  </si>
  <si>
    <t>West Central Valley</t>
  </si>
  <si>
    <t>6950</t>
  </si>
  <si>
    <t>West Delaware Co</t>
  </si>
  <si>
    <t>6957</t>
  </si>
  <si>
    <t>West Des Moines</t>
  </si>
  <si>
    <t>5922</t>
  </si>
  <si>
    <t>West Fork</t>
  </si>
  <si>
    <t>0819</t>
  </si>
  <si>
    <t>West Hancock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</si>
  <si>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</si>
  <si>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</si>
  <si>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</si>
  <si>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</si>
  <si>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</si>
  <si>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</si>
  <si>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</si>
  <si>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</si>
  <si>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</si>
  <si>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</si>
  <si>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</si>
  <si>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</si>
  <si>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6961</t>
  </si>
  <si>
    <t>Western Dubuque Co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</si>
  <si>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</si>
  <si>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</si>
  <si>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</si>
  <si>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</si>
  <si>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</si>
  <si>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</si>
  <si>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</si>
  <si>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</si>
  <si>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</si>
  <si>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</si>
  <si>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</si>
  <si>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</si>
  <si>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</si>
  <si>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</si>
  <si>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</si>
  <si>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</si>
  <si>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</si>
  <si>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</si>
  <si>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FiscalYear</t>
  </si>
  <si>
    <t>AEA</t>
  </si>
  <si>
    <t>Dist</t>
  </si>
  <si>
    <t>DistrictNumber</t>
  </si>
  <si>
    <t>DistSub1</t>
  </si>
  <si>
    <t>DistSub2</t>
  </si>
  <si>
    <t>District Name</t>
  </si>
  <si>
    <t>Expenditures</t>
  </si>
  <si>
    <t>Miscellaneous Income</t>
  </si>
  <si>
    <t>Total Fund Balance</t>
  </si>
  <si>
    <t>IKM-Manning</t>
  </si>
  <si>
    <t>South Tama County</t>
  </si>
  <si>
    <t>20% of Expenditures</t>
  </si>
  <si>
    <t>Assigned and Unassigned Fund Balance</t>
  </si>
  <si>
    <t>Label</t>
  </si>
  <si>
    <t>Final Cash Reserve Levy</t>
  </si>
  <si>
    <t>Number of Districts unable to levy for Cash Reserve:</t>
  </si>
  <si>
    <t>Number of Districts Levying for Cash Reserve:</t>
  </si>
  <si>
    <t>Number of Districts Levying Maximum for Cash Reserve Levy:</t>
  </si>
  <si>
    <t>Number of Districts Not Levying for Cash Reserve but have the Ability:</t>
  </si>
  <si>
    <t/>
  </si>
  <si>
    <t>Van Buren County</t>
  </si>
  <si>
    <t>Fiscal Year</t>
  </si>
  <si>
    <t>Total Cash Reserve Levy</t>
  </si>
  <si>
    <t>Percent Change</t>
  </si>
  <si>
    <t>Levying Maximum Cash Reserve</t>
  </si>
  <si>
    <t>Preliminary Maximum Cash Reserve Levy - Initial Posting</t>
  </si>
  <si>
    <t>Check for Negative</t>
  </si>
  <si>
    <t>AGWSR Comm School District</t>
  </si>
  <si>
    <t>Adair-Casey Comm School District</t>
  </si>
  <si>
    <t>Adel DeSoto Minburn Comm School District</t>
  </si>
  <si>
    <t>Akron Westfield Comm School District</t>
  </si>
  <si>
    <t>Albert City-Truesdale Comm School District</t>
  </si>
  <si>
    <t>Albia Comm School District</t>
  </si>
  <si>
    <t>Alburnett Comm School District</t>
  </si>
  <si>
    <t>Alden Comm School District</t>
  </si>
  <si>
    <t>Algona Comm School District</t>
  </si>
  <si>
    <t>Allamakee Comm School District</t>
  </si>
  <si>
    <t>North Butler Comm School District</t>
  </si>
  <si>
    <t>Alta-Aurelia Comm School District</t>
  </si>
  <si>
    <t>Ames Comm School District</t>
  </si>
  <si>
    <t>Anamosa Comm School District</t>
  </si>
  <si>
    <t>Andrew Comm School District</t>
  </si>
  <si>
    <t>Ankeny Comm School District</t>
  </si>
  <si>
    <t>Aplington-Parkersburg Comm School District</t>
  </si>
  <si>
    <t>North Union Comm School District</t>
  </si>
  <si>
    <t>Ar-We-Va Comm School District</t>
  </si>
  <si>
    <t>Atlantic Comm School District</t>
  </si>
  <si>
    <t>Audubon Comm School District</t>
  </si>
  <si>
    <t>AHSTW Comm School District</t>
  </si>
  <si>
    <t>Ballard Comm School District</t>
  </si>
  <si>
    <t>Baxter Comm School District</t>
  </si>
  <si>
    <t>BCLUW Comm School District</t>
  </si>
  <si>
    <t>Bedford Comm School District</t>
  </si>
  <si>
    <t>Belle Plaine Comm School District</t>
  </si>
  <si>
    <t>Bellevue Comm School District</t>
  </si>
  <si>
    <t>Belmond-Klemme Comm School District</t>
  </si>
  <si>
    <t>Bennett Comm School District</t>
  </si>
  <si>
    <t>Benton Comm School District</t>
  </si>
  <si>
    <t>Bettendorf Comm School District</t>
  </si>
  <si>
    <t>Eddyville-Blakesburg- Fremont CSD</t>
  </si>
  <si>
    <t>Bondurant-Farrar Comm School District</t>
  </si>
  <si>
    <t>Boone Comm School District</t>
  </si>
  <si>
    <t>Boyden-Hull Comm School District</t>
  </si>
  <si>
    <t>West Hancock Comm School District</t>
  </si>
  <si>
    <t>Brooklyn-Guernsey-Malcom Comm School District</t>
  </si>
  <si>
    <t>North Iowa Comm School District</t>
  </si>
  <si>
    <t>Burlington Comm School District</t>
  </si>
  <si>
    <t>CAM Comm School District</t>
  </si>
  <si>
    <t>CAL Comm School District</t>
  </si>
  <si>
    <t>Calamus-Wheatland Comm School District</t>
  </si>
  <si>
    <t>Camanche Comm School District</t>
  </si>
  <si>
    <t>Cardinal Comm School District</t>
  </si>
  <si>
    <t>Carlisle Comm School District</t>
  </si>
  <si>
    <t>Carroll Comm School District</t>
  </si>
  <si>
    <t>Cedar Falls Comm School District</t>
  </si>
  <si>
    <t>Cedar Rapids Comm School District</t>
  </si>
  <si>
    <t>Center Point-Urbana Comm School District</t>
  </si>
  <si>
    <t>Centerville Comm School District</t>
  </si>
  <si>
    <t>Central Lee Comm School District</t>
  </si>
  <si>
    <t>Central Comm School District</t>
  </si>
  <si>
    <t>Central DeWitt School District</t>
  </si>
  <si>
    <t>Central City Comm School District</t>
  </si>
  <si>
    <t>Central Decatur Comm School District</t>
  </si>
  <si>
    <t>Central Lyon Comm School District</t>
  </si>
  <si>
    <t>Chariton Comm School District</t>
  </si>
  <si>
    <t>Charles City Comm School District</t>
  </si>
  <si>
    <t>Charter Oak-Ute Comm School District</t>
  </si>
  <si>
    <t>Cherokee Comm School District</t>
  </si>
  <si>
    <t>Clarinda Comm School District</t>
  </si>
  <si>
    <t>Clarion-Goldfield-Dows Comm School District</t>
  </si>
  <si>
    <t>Clarke Comm School District</t>
  </si>
  <si>
    <t>Clarksville Comm School District</t>
  </si>
  <si>
    <t>Clay Central-Everly Comm School District</t>
  </si>
  <si>
    <t>Clear Creek Amana Comm School District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</si>
  <si>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</si>
  <si>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</si>
  <si>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</si>
  <si>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</si>
  <si>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</si>
  <si>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Comm School District</t>
  </si>
  <si>
    <t>Columbus Comm School District</t>
  </si>
  <si>
    <t>Coon Rapids-Bayard Comm School District</t>
  </si>
  <si>
    <t>Corning Comm School District</t>
  </si>
  <si>
    <t>Council Bluffs Comm School District</t>
  </si>
  <si>
    <t>Creston Comm School District</t>
  </si>
  <si>
    <t>Dallas Center-Grimes Comm School District</t>
  </si>
  <si>
    <t>Danville Comm School District</t>
  </si>
  <si>
    <t>Davenport Comm School District</t>
  </si>
  <si>
    <t>Davis County Comm School District</t>
  </si>
  <si>
    <t>Decorah Community School District</t>
  </si>
  <si>
    <t>Delwood Comm School District</t>
  </si>
  <si>
    <t>Denison Comm School District</t>
  </si>
  <si>
    <t>Denver Comm School District</t>
  </si>
  <si>
    <t>Des Moines Independent Comm School District</t>
  </si>
  <si>
    <t>Diagonal Comm School District</t>
  </si>
  <si>
    <t>Dike-New Hartford Comm School District</t>
  </si>
  <si>
    <t>Dubuque Comm School District</t>
  </si>
  <si>
    <t>Dunkerton Comm School District</t>
  </si>
  <si>
    <t>Boyer Valley Comm School District</t>
  </si>
  <si>
    <t>Durant Comm School District</t>
  </si>
  <si>
    <t>Eagle Grove Comm School District</t>
  </si>
  <si>
    <t>Earlham Comm School District</t>
  </si>
  <si>
    <t>East Buchanan Comm School District</t>
  </si>
  <si>
    <t>Easton Valley Comm School District</t>
  </si>
  <si>
    <t>East Marshall Comm School District</t>
  </si>
  <si>
    <t>East Union Comm School District</t>
  </si>
  <si>
    <t>Eastern Allamakee Comm School District</t>
  </si>
  <si>
    <t>River Valley Comm School District</t>
  </si>
  <si>
    <t>Edgewood-Colesburg Comm School District</t>
  </si>
  <si>
    <t>Eldora-New Providence Comm School District</t>
  </si>
  <si>
    <t>Emmetsburg Comm School District</t>
  </si>
  <si>
    <t>English Valleys Comm School District</t>
  </si>
  <si>
    <t>Essex Comm School District</t>
  </si>
  <si>
    <t>Estherville Lincoln Central Com Sch Dist</t>
  </si>
  <si>
    <t>Exira-Elk Horn- Kimballton Comm Sch Dist</t>
  </si>
  <si>
    <t>Fairfield Comm School District</t>
  </si>
  <si>
    <t>Forest City Comm School District</t>
  </si>
  <si>
    <t>Fort Dodge Comm School District</t>
  </si>
  <si>
    <t>Fort Madison Comm School District</t>
  </si>
  <si>
    <t>Fremont-Mills Comm School District</t>
  </si>
  <si>
    <t>Galva-Holstein Comm School District</t>
  </si>
  <si>
    <t>Garner-Hayfield-Ventura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</si>
  <si>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</si>
  <si>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</si>
  <si>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</si>
  <si>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</si>
  <si>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Glenwood Comm School District</t>
  </si>
  <si>
    <t>Glidden-Ralston Comm School District</t>
  </si>
  <si>
    <t>Graettinger-Terril Comm School District</t>
  </si>
  <si>
    <t>Nodaway Valley Comm School District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</si>
  <si>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</si>
  <si>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</si>
  <si>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</si>
  <si>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</si>
  <si>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</si>
  <si>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</si>
  <si>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</si>
  <si>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</si>
  <si>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</si>
  <si>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</si>
  <si>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Harris-Lake Park Comm School District</t>
  </si>
  <si>
    <t>Hartley-Melvin-Sanborn Comm School District</t>
  </si>
  <si>
    <t>Highland Comm School District</t>
  </si>
  <si>
    <t>Hinton Comm School District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</si>
  <si>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</si>
  <si>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</si>
  <si>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</si>
  <si>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</si>
  <si>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</si>
  <si>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</si>
  <si>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</si>
  <si>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</si>
  <si>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</si>
  <si>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</si>
  <si>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</si>
  <si>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</si>
  <si>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 County Comm School District</t>
  </si>
  <si>
    <t>Jesup Comm School District</t>
  </si>
  <si>
    <t>Johnston Comm School District</t>
  </si>
  <si>
    <t>Keokuk Comm School District</t>
  </si>
  <si>
    <t>Keota Comm School District</t>
  </si>
  <si>
    <t>Kingsley-Pierson Comm School District</t>
  </si>
  <si>
    <t>Knoxville Comm School District</t>
  </si>
  <si>
    <t>Lake Mills Comm School District</t>
  </si>
  <si>
    <t>Lamoni Comm School District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</si>
  <si>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</si>
  <si>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</si>
  <si>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</si>
  <si>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</si>
  <si>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</si>
  <si>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</si>
  <si>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</si>
  <si>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</si>
  <si>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</si>
  <si>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</si>
  <si>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</si>
  <si>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LuVerne Comm School District</t>
  </si>
  <si>
    <t>Lynnville-Sully Comm School District</t>
  </si>
  <si>
    <t>Madrid Comm School District</t>
  </si>
  <si>
    <t>East Mills Comm School District</t>
  </si>
  <si>
    <t>Manson Northwest Webster Comm School District</t>
  </si>
  <si>
    <t>Maple Valley-Anthon Oto Comm School District</t>
  </si>
  <si>
    <t>Maquoketa Comm School District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</si>
  <si>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</si>
  <si>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</si>
  <si>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</si>
  <si>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</si>
  <si>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</si>
  <si>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</si>
  <si>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</si>
  <si>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</si>
  <si>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</si>
  <si>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</si>
  <si>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</si>
  <si>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</si>
  <si>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MFL MarMac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</si>
  <si>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</si>
  <si>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</si>
  <si>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</si>
  <si>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</si>
  <si>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</si>
  <si>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</si>
  <si>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</si>
  <si>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Mount Pleasant Comm School District</t>
  </si>
  <si>
    <t>Mount Vernon Comm School District</t>
  </si>
  <si>
    <t>Murray Comm School District</t>
  </si>
  <si>
    <t>Muscatine Comm School District</t>
  </si>
  <si>
    <t>Nashua-Plainfield Comm School District</t>
  </si>
  <si>
    <t>Nevada Comm School District</t>
  </si>
  <si>
    <t>Newell-Fonda Comm School District</t>
  </si>
  <si>
    <t>New Hampton Comm School District</t>
  </si>
  <si>
    <t>New London Comm School District</t>
  </si>
  <si>
    <t>Newton Comm School District</t>
  </si>
  <si>
    <t>Central Springs Comm School District</t>
  </si>
  <si>
    <t>Northeast Comm School District</t>
  </si>
  <si>
    <t>North Fayette Valley Comm School District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</si>
  <si>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</si>
  <si>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</si>
  <si>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</si>
  <si>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</si>
  <si>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</si>
  <si>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</si>
  <si>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Northwood-Kensett Comm School District</t>
  </si>
  <si>
    <t>Norwalk Comm School District</t>
  </si>
  <si>
    <t>Odebolt Arthur Battle Creek Ida Grove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</si>
  <si>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</si>
  <si>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</si>
  <si>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</si>
  <si>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</si>
  <si>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</si>
  <si>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</si>
  <si>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</si>
  <si>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</si>
  <si>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</si>
  <si>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</si>
  <si>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</si>
  <si>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</si>
  <si>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</si>
  <si>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</si>
  <si>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</si>
  <si>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</si>
  <si>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</si>
  <si>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</si>
  <si>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Prairie Valley Comm School District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</si>
  <si>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</si>
  <si>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</si>
  <si>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</si>
  <si>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</si>
  <si>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</si>
  <si>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</si>
  <si>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</si>
  <si>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</si>
  <si>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</si>
  <si>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</si>
  <si>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</si>
  <si>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</si>
  <si>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</si>
  <si>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</si>
  <si>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Comm School District</t>
  </si>
  <si>
    <t>Sheldon Comm School District</t>
  </si>
  <si>
    <t>Shenandoah Comm School District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</si>
  <si>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</si>
  <si>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</si>
  <si>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</si>
  <si>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</si>
  <si>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</si>
  <si>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</si>
  <si>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 Central Calhoun Comm School District</t>
  </si>
  <si>
    <t>Solon Comm School District</t>
  </si>
  <si>
    <t>Southeast Warren Comm School District</t>
  </si>
  <si>
    <t>South Hamilton Comm School District</t>
  </si>
  <si>
    <t>Southeast Webster Grand Comm School District</t>
  </si>
  <si>
    <t>South Page Comm School District</t>
  </si>
  <si>
    <t>South O'Brien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</si>
  <si>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</si>
  <si>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</si>
  <si>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</si>
  <si>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</si>
  <si>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</si>
  <si>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</si>
  <si>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</si>
  <si>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</si>
  <si>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</si>
  <si>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</si>
  <si>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</si>
  <si>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</si>
  <si>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</si>
  <si>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</si>
  <si>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</si>
  <si>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</si>
  <si>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</si>
  <si>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</si>
  <si>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</si>
  <si>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</si>
  <si>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</si>
  <si>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</si>
  <si>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</si>
  <si>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Van Buren County Comm School District</t>
  </si>
  <si>
    <t>Van Meter Comm School District</t>
  </si>
  <si>
    <t>Villisca Comm School District</t>
  </si>
  <si>
    <t>Vinton-Shellsburg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</si>
  <si>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</si>
  <si>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</si>
  <si>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</si>
  <si>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</si>
  <si>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</si>
  <si>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</si>
  <si>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</si>
  <si>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</si>
  <si>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</si>
  <si>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</si>
  <si>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</si>
  <si>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</si>
  <si>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</si>
  <si>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</si>
  <si>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</si>
  <si>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</si>
  <si>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</si>
  <si>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</si>
  <si>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</si>
  <si>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</si>
  <si>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</si>
  <si>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</si>
  <si>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</si>
  <si>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</si>
  <si>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</si>
  <si>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</si>
  <si>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</si>
  <si>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</si>
  <si>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</si>
  <si>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</si>
  <si>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</si>
  <si>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Southeast Valley</t>
  </si>
  <si>
    <t>FY22 Expenditures, Miscellaneous Income, Assigned/Unassigned Fund Balace, Total Fund Balance</t>
  </si>
  <si>
    <t>District Number</t>
  </si>
  <si>
    <t>Assigned &amp; Unassigned Fund Balance</t>
  </si>
  <si>
    <t>WACO Comm School District</t>
  </si>
  <si>
    <t>Final Maximum Cash Reserve Levy</t>
  </si>
  <si>
    <t>Final 6-15-2023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</si>
</sst>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3" fontId="2" fillId="0" borderId="0" xfId="0" applyNumberFormat="1" applyFont="1"/>
    <xf numFmtId="4" fontId="0" fillId="0" borderId="0" xfId="0" applyNumberFormat="1"/>
    <xf numFmtId="49" fontId="0" fillId="0" borderId="0" xfId="0" applyNumberFormat="1"/>
    <xf numFmtId="3" fontId="2" fillId="0" borderId="0" xfId="0" applyNumberFormat="1" applyFont="1" applyAlignment="1">
      <alignment horizontal="right"/>
    </xf>
    <xf numFmtId="3" fontId="0" fillId="0" borderId="0" xfId="0" applyNumberFormat="1"/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3" fontId="3" fillId="0" borderId="0" xfId="0" applyNumberFormat="1" applyFont="1" applyBorder="1" applyAlignment="1">
      <alignment horizontal="center" wrapText="1"/>
    </xf>
    <xf numFmtId="3" fontId="2" fillId="0" borderId="2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/>
    <xf numFmtId="0" fontId="2" fillId="0" borderId="0" xfId="0" applyFont="1" applyFill="1"/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4" fontId="0" fillId="0" borderId="8" xfId="0" applyNumberFormat="1" applyBorder="1" applyAlignment="1">
      <alignment vertical="top" wrapText="1"/>
    </xf>
    <xf numFmtId="4" fontId="0" fillId="0" borderId="7" xfId="0" applyNumberFormat="1" applyBorder="1" applyAlignment="1">
      <alignment vertical="top"/>
    </xf>
    <xf numFmtId="4" fontId="0" fillId="0" borderId="8" xfId="0" applyNumberFormat="1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4" fontId="0" fillId="0" borderId="10" xfId="0" applyNumberFormat="1" applyBorder="1" applyAlignment="1">
      <alignment vertical="top" wrapText="1"/>
    </xf>
    <xf numFmtId="4" fontId="0" fillId="0" borderId="11" xfId="0" applyNumberFormat="1" applyBorder="1" applyAlignment="1">
      <alignment vertical="top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0" xfId="0" quotePrefix="1" applyFill="1"/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3" fontId="3" fillId="0" borderId="0" xfId="0" applyNumberFormat="1" applyFont="1" applyFill="1" applyBorder="1" applyAlignment="1">
      <alignment horizontal="center" wrapText="1"/>
    </xf>
    <xf numFmtId="3" fontId="2" fillId="0" borderId="0" xfId="0" applyNumberFormat="1" applyFont="1" applyFill="1"/>
    <xf numFmtId="3" fontId="2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3" fontId="2" fillId="0" borderId="2" xfId="0" applyNumberFormat="1" applyFont="1" applyFill="1" applyBorder="1"/>
    <xf numFmtId="0" fontId="3" fillId="0" borderId="1" xfId="0" applyFont="1" applyFill="1" applyBorder="1"/>
    <xf numFmtId="3" fontId="3" fillId="0" borderId="0" xfId="0" applyNumberFormat="1" applyFont="1" applyFill="1" applyAlignment="1">
      <alignment horizontal="center" wrapText="1"/>
    </xf>
    <xf numFmtId="0" fontId="2" fillId="0" borderId="1" xfId="0" applyFont="1" applyFill="1" applyBorder="1"/>
    <xf numFmtId="9" fontId="2" fillId="0" borderId="1" xfId="1" applyFont="1" applyFill="1" applyBorder="1"/>
    <xf numFmtId="0" fontId="4" fillId="0" borderId="0" xfId="0" applyFont="1" applyAlignment="1">
      <alignment horizontal="center" vertical="center" wrapText="1"/>
    </xf>
    <xf numFmtId="0" fontId="3" fillId="0" borderId="0" xfId="0" applyFont="1" applyFill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62"/>
  <sheetViews>
    <sheetView tabSelected="1" zoomScaleNormal="100" workbookViewId="0">
      <pane xSplit="7" ySplit="2" topLeftCell="H321" activePane="bottomRight" state="frozen"/>
      <selection pane="topRight" activeCell="L1" sqref="L1"/>
      <selection pane="bottomLeft" activeCell="A2" sqref="A2"/>
      <selection pane="bottomRight"/>
    </sheetView>
  </sheetViews>
  <sheetFormatPr defaultRowHeight="12.75" x14ac:dyDescent="0.2"/>
  <cols>
    <col min="1" max="1" width="9.140625" style="1" customWidth="1"/>
    <col min="2" max="2" width="4.85546875" style="1" hidden="1" customWidth="1"/>
    <col min="3" max="3" width="4.42578125" style="1" bestFit="1" customWidth="1"/>
    <col min="4" max="4" width="9.140625" style="1" hidden="1" customWidth="1"/>
    <col min="5" max="5" width="8.28515625" style="1" hidden="1" customWidth="1"/>
    <col min="6" max="6" width="8.28515625" style="1" customWidth="1"/>
    <col min="7" max="7" width="40.140625" style="1" customWidth="1"/>
    <col min="8" max="8" width="12" style="1" customWidth="1"/>
    <col min="9" max="9" width="13" style="1" customWidth="1"/>
    <col min="10" max="10" width="14.42578125" style="1" bestFit="1" customWidth="1"/>
    <col min="11" max="11" width="14" style="2" customWidth="1"/>
    <col min="12" max="12" width="14.7109375" style="17" customWidth="1"/>
    <col min="13" max="13" width="9.140625" style="17" customWidth="1"/>
    <col min="14" max="14" width="22.28515625" style="17" customWidth="1"/>
    <col min="15" max="16" width="9.140625" style="17" customWidth="1"/>
    <col min="17" max="22" width="0" style="17" hidden="1" customWidth="1"/>
    <col min="23" max="23" width="0" style="1" hidden="1" customWidth="1"/>
    <col min="24" max="16384" width="9.140625" style="1"/>
  </cols>
  <sheetData>
    <row r="1" spans="1:22" ht="39" customHeight="1" x14ac:dyDescent="0.2">
      <c r="C1" s="44" t="str">
        <f>_xlfn.CONCAT("SBRC FY ",A3," Final Cash Reserve Levy Limitations
Source: FY ",A3-2," Certified Annual Report")</f>
        <v>SBRC FY 2024 Final Cash Reserve Levy Limitations
Source: FY 2022 Certified Annual Report</v>
      </c>
      <c r="D1" s="44"/>
      <c r="E1" s="44"/>
      <c r="F1" s="44"/>
      <c r="G1" s="44"/>
      <c r="H1" s="44"/>
      <c r="I1" s="44"/>
      <c r="J1" s="44"/>
      <c r="K1" s="44"/>
    </row>
    <row r="2" spans="1:22" ht="51" x14ac:dyDescent="0.2">
      <c r="A2" s="16" t="s">
        <v>668</v>
      </c>
      <c r="B2" s="16" t="s">
        <v>669</v>
      </c>
      <c r="C2" s="45" t="s">
        <v>670</v>
      </c>
      <c r="D2" s="16" t="s">
        <v>672</v>
      </c>
      <c r="E2" s="16" t="s">
        <v>673</v>
      </c>
      <c r="F2" s="16" t="s">
        <v>671</v>
      </c>
      <c r="G2" s="16" t="s">
        <v>682</v>
      </c>
      <c r="H2" s="11" t="s">
        <v>675</v>
      </c>
      <c r="I2" s="11" t="s">
        <v>680</v>
      </c>
      <c r="J2" s="11" t="s">
        <v>681</v>
      </c>
      <c r="K2" s="12" t="s">
        <v>1026</v>
      </c>
      <c r="L2" s="35" t="s">
        <v>683</v>
      </c>
      <c r="M2" s="35" t="s">
        <v>693</v>
      </c>
      <c r="Q2" s="17" t="s">
        <v>695</v>
      </c>
      <c r="U2" s="36" t="s">
        <v>694</v>
      </c>
    </row>
    <row r="3" spans="1:22" x14ac:dyDescent="0.2">
      <c r="A3" s="14">
        <v>2024</v>
      </c>
      <c r="B3" s="14" t="s">
        <v>0</v>
      </c>
      <c r="C3" s="14" t="s">
        <v>1</v>
      </c>
      <c r="D3" s="14" t="s">
        <v>688</v>
      </c>
      <c r="E3" s="14" t="s">
        <v>688</v>
      </c>
      <c r="F3" s="14" t="s">
        <v>1</v>
      </c>
      <c r="G3" s="14" t="s">
        <v>2</v>
      </c>
      <c r="H3" s="15">
        <f>ROUND(SUMPRODUCT(SUMIF(Final!$G$4:$G$330,CashReserveLevy!D3:F3,Final!$C$4:$C$330)),0)</f>
        <v>4593649</v>
      </c>
      <c r="I3" s="15">
        <f>ROUND(H3*0.2,0)</f>
        <v>918730</v>
      </c>
      <c r="J3" s="15">
        <f>ROUND(SUMPRODUCT(SUMIF(Final!$G$4:$G$330,CashReserveLevy!D3:F3,Final!$E$4:$E$330)),0)</f>
        <v>1435067</v>
      </c>
      <c r="K3" s="15">
        <f>IF(I3&gt;J3,I3-J3,0)</f>
        <v>0</v>
      </c>
      <c r="L3" s="37">
        <f>INDEX(ActualCRLevy_SAS!$A$2:$D$326,MATCH(CashReserveLevy!$C3,ActualCRLevy_SAS!$B$2:$B$326,0),4)</f>
        <v>0</v>
      </c>
      <c r="M3" s="38" t="str">
        <f>IF(AND(L3=K3,K3&gt;0),"Max","")</f>
        <v/>
      </c>
      <c r="N3" s="17" t="str">
        <f>IF(AND(L3&lt;K3,L3=0),"No Levy but have Capacity","")</f>
        <v/>
      </c>
      <c r="O3" s="17" t="str">
        <f t="shared" ref="O3:O12" si="0">IF(L3&gt;K3,"Exceedes Maximum Limit","")</f>
        <v/>
      </c>
      <c r="Q3" s="36">
        <f>K3-L3</f>
        <v>0</v>
      </c>
      <c r="U3" s="37">
        <v>0</v>
      </c>
      <c r="V3" s="36">
        <f>K3-U3</f>
        <v>0</v>
      </c>
    </row>
    <row r="4" spans="1:22" x14ac:dyDescent="0.2">
      <c r="A4" s="14">
        <v>2024</v>
      </c>
      <c r="B4" s="14" t="s">
        <v>0</v>
      </c>
      <c r="C4" s="14" t="s">
        <v>3</v>
      </c>
      <c r="D4" s="14" t="s">
        <v>688</v>
      </c>
      <c r="E4" s="14" t="s">
        <v>688</v>
      </c>
      <c r="F4" s="14" t="s">
        <v>3</v>
      </c>
      <c r="G4" s="14" t="s">
        <v>4</v>
      </c>
      <c r="H4" s="15">
        <f>ROUND(SUMPRODUCT(SUMIF(Final!$G$4:$G$330,CashReserveLevy!D4:F4,Final!$C$4:$C$330)),0)</f>
        <v>24295219</v>
      </c>
      <c r="I4" s="15">
        <f>ROUND(H4*0.2,0)</f>
        <v>4859044</v>
      </c>
      <c r="J4" s="15">
        <f>ROUND(SUMPRODUCT(SUMIF(Final!$G$4:$G$330,CashReserveLevy!D4:F4,Final!$E$4:$E$330)),0)</f>
        <v>5188022</v>
      </c>
      <c r="K4" s="15">
        <f t="shared" ref="K4:K67" si="1">IF(I4&gt;J4,I4-J4,0)</f>
        <v>0</v>
      </c>
      <c r="L4" s="37">
        <f>INDEX(ActualCRLevy_SAS!$A$2:$D$326,MATCH(CashReserveLevy!$C4,ActualCRLevy_SAS!$B$2:$B$326,0),4)</f>
        <v>0</v>
      </c>
      <c r="M4" s="38" t="str">
        <f t="shared" ref="M4:M67" si="2">IF(AND(L4=K4,K4&gt;0),"Max","")</f>
        <v/>
      </c>
      <c r="N4" s="17" t="str">
        <f t="shared" ref="N4:N67" si="3">IF(AND(L4&lt;K4,L4=0),"No Levy but have Capacity","")</f>
        <v/>
      </c>
      <c r="O4" s="17" t="str">
        <f t="shared" si="0"/>
        <v/>
      </c>
      <c r="Q4" s="36">
        <f t="shared" ref="Q4:Q67" si="4">K4-L4</f>
        <v>0</v>
      </c>
      <c r="U4" s="37">
        <v>0</v>
      </c>
      <c r="V4" s="36">
        <f t="shared" ref="V4:V67" si="5">K4-U4</f>
        <v>0</v>
      </c>
    </row>
    <row r="5" spans="1:22" x14ac:dyDescent="0.2">
      <c r="A5" s="14">
        <v>2024</v>
      </c>
      <c r="B5" s="14" t="s">
        <v>5</v>
      </c>
      <c r="C5" s="14" t="s">
        <v>6</v>
      </c>
      <c r="D5" s="14" t="s">
        <v>688</v>
      </c>
      <c r="E5" s="14" t="s">
        <v>688</v>
      </c>
      <c r="F5" s="14" t="s">
        <v>6</v>
      </c>
      <c r="G5" s="14" t="s">
        <v>7</v>
      </c>
      <c r="H5" s="15">
        <f>ROUND(SUMPRODUCT(SUMIF(Final!$G$4:$G$330,CashReserveLevy!D5:F5,Final!$C$4:$C$330)),0)</f>
        <v>9940867</v>
      </c>
      <c r="I5" s="15">
        <f t="shared" ref="I5:I67" si="6">ROUND(H5*0.2,0)</f>
        <v>1988173</v>
      </c>
      <c r="J5" s="15">
        <f>ROUND(SUMPRODUCT(SUMIF(Final!$G$4:$G$330,CashReserveLevy!D5:F5,Final!$E$4:$E$330)),0)</f>
        <v>1221374</v>
      </c>
      <c r="K5" s="15">
        <f t="shared" si="1"/>
        <v>766799</v>
      </c>
      <c r="L5" s="37">
        <f>INDEX(ActualCRLevy_SAS!$A$2:$D$326,MATCH(CashReserveLevy!$C5,ActualCRLevy_SAS!$B$2:$B$326,0),4)</f>
        <v>370000</v>
      </c>
      <c r="M5" s="38" t="str">
        <f t="shared" si="2"/>
        <v/>
      </c>
      <c r="N5" s="17" t="str">
        <f t="shared" si="3"/>
        <v/>
      </c>
      <c r="O5" s="17" t="str">
        <f t="shared" si="0"/>
        <v/>
      </c>
      <c r="Q5" s="36">
        <f t="shared" si="4"/>
        <v>396799</v>
      </c>
      <c r="U5" s="37">
        <v>766799</v>
      </c>
      <c r="V5" s="36">
        <f t="shared" si="5"/>
        <v>0</v>
      </c>
    </row>
    <row r="6" spans="1:22" x14ac:dyDescent="0.2">
      <c r="A6" s="14">
        <v>2024</v>
      </c>
      <c r="B6" s="14" t="s">
        <v>8</v>
      </c>
      <c r="C6" s="14" t="s">
        <v>9</v>
      </c>
      <c r="D6" s="14" t="s">
        <v>688</v>
      </c>
      <c r="E6" s="14" t="s">
        <v>688</v>
      </c>
      <c r="F6" s="14" t="s">
        <v>9</v>
      </c>
      <c r="G6" s="14" t="s">
        <v>10</v>
      </c>
      <c r="H6" s="15">
        <f>ROUND(SUMPRODUCT(SUMIF(Final!$G$4:$G$330,CashReserveLevy!D6:F6,Final!$C$4:$C$330)),0)</f>
        <v>10025049</v>
      </c>
      <c r="I6" s="15">
        <f t="shared" si="6"/>
        <v>2005010</v>
      </c>
      <c r="J6" s="15">
        <f>ROUND(SUMPRODUCT(SUMIF(Final!$G$4:$G$330,CashReserveLevy!D6:F6,Final!$E$4:$E$330)),0)</f>
        <v>2869593</v>
      </c>
      <c r="K6" s="15">
        <f t="shared" si="1"/>
        <v>0</v>
      </c>
      <c r="L6" s="37">
        <f>INDEX(ActualCRLevy_SAS!$A$2:$D$326,MATCH(CashReserveLevy!$C6,ActualCRLevy_SAS!$B$2:$B$326,0),4)</f>
        <v>0</v>
      </c>
      <c r="M6" s="38" t="str">
        <f t="shared" si="2"/>
        <v/>
      </c>
      <c r="N6" s="17" t="str">
        <f t="shared" si="3"/>
        <v/>
      </c>
      <c r="O6" s="17" t="str">
        <f t="shared" si="0"/>
        <v/>
      </c>
      <c r="Q6" s="36">
        <f t="shared" si="4"/>
        <v>0</v>
      </c>
      <c r="U6" s="37">
        <v>0</v>
      </c>
      <c r="V6" s="36">
        <f t="shared" si="5"/>
        <v>0</v>
      </c>
    </row>
    <row r="7" spans="1:22" x14ac:dyDescent="0.2">
      <c r="A7" s="14">
        <v>2024</v>
      </c>
      <c r="B7" s="14" t="s">
        <v>11</v>
      </c>
      <c r="C7" s="14" t="s">
        <v>12</v>
      </c>
      <c r="D7" s="14" t="s">
        <v>688</v>
      </c>
      <c r="E7" s="14" t="s">
        <v>688</v>
      </c>
      <c r="F7" s="14" t="s">
        <v>12</v>
      </c>
      <c r="G7" s="14" t="s">
        <v>13</v>
      </c>
      <c r="H7" s="15">
        <f>ROUND(SUMPRODUCT(SUMIF(Final!$G$4:$G$330,CashReserveLevy!D7:F7,Final!$C$4:$C$330)),0)</f>
        <v>8004281</v>
      </c>
      <c r="I7" s="15">
        <f t="shared" si="6"/>
        <v>1600856</v>
      </c>
      <c r="J7" s="15">
        <f>ROUND(SUMPRODUCT(SUMIF(Final!$G$4:$G$330,CashReserveLevy!D7:F7,Final!$E$4:$E$330)),0)</f>
        <v>1785712</v>
      </c>
      <c r="K7" s="15">
        <f t="shared" si="1"/>
        <v>0</v>
      </c>
      <c r="L7" s="37">
        <f>INDEX(ActualCRLevy_SAS!$A$2:$D$326,MATCH(CashReserveLevy!$C7,ActualCRLevy_SAS!$B$2:$B$326,0),4)</f>
        <v>0</v>
      </c>
      <c r="M7" s="38" t="str">
        <f t="shared" si="2"/>
        <v/>
      </c>
      <c r="N7" s="17" t="str">
        <f t="shared" si="3"/>
        <v/>
      </c>
      <c r="O7" s="17" t="str">
        <f t="shared" si="0"/>
        <v/>
      </c>
      <c r="Q7" s="36">
        <f t="shared" si="4"/>
        <v>0</v>
      </c>
      <c r="U7" s="37">
        <v>0</v>
      </c>
      <c r="V7" s="36">
        <f t="shared" si="5"/>
        <v>0</v>
      </c>
    </row>
    <row r="8" spans="1:22" x14ac:dyDescent="0.2">
      <c r="A8" s="14">
        <v>2024</v>
      </c>
      <c r="B8" s="14" t="s">
        <v>14</v>
      </c>
      <c r="C8" s="14" t="s">
        <v>15</v>
      </c>
      <c r="D8" s="14" t="s">
        <v>688</v>
      </c>
      <c r="E8" s="14" t="s">
        <v>688</v>
      </c>
      <c r="F8" s="14" t="s">
        <v>15</v>
      </c>
      <c r="G8" s="14" t="s">
        <v>16</v>
      </c>
      <c r="H8" s="15">
        <f>ROUND(SUMPRODUCT(SUMIF(Final!$G$4:$G$330,CashReserveLevy!D8:F8,Final!$C$4:$C$330)),0)</f>
        <v>2809844</v>
      </c>
      <c r="I8" s="15">
        <f t="shared" si="6"/>
        <v>561969</v>
      </c>
      <c r="J8" s="15">
        <f>ROUND(SUMPRODUCT(SUMIF(Final!$G$4:$G$330,CashReserveLevy!D8:F8,Final!$E$4:$E$330)),0)</f>
        <v>1134405</v>
      </c>
      <c r="K8" s="15">
        <f t="shared" si="1"/>
        <v>0</v>
      </c>
      <c r="L8" s="37">
        <f>INDEX(ActualCRLevy_SAS!$A$2:$D$326,MATCH(CashReserveLevy!$C8,ActualCRLevy_SAS!$B$2:$B$326,0),4)</f>
        <v>0</v>
      </c>
      <c r="M8" s="38" t="str">
        <f t="shared" si="2"/>
        <v/>
      </c>
      <c r="N8" s="17" t="str">
        <f t="shared" si="3"/>
        <v/>
      </c>
      <c r="O8" s="17" t="str">
        <f t="shared" si="0"/>
        <v/>
      </c>
      <c r="Q8" s="36">
        <f t="shared" si="4"/>
        <v>0</v>
      </c>
      <c r="U8" s="37">
        <v>0</v>
      </c>
      <c r="V8" s="36">
        <f t="shared" si="5"/>
        <v>0</v>
      </c>
    </row>
    <row r="9" spans="1:22" x14ac:dyDescent="0.2">
      <c r="A9" s="14">
        <v>2024</v>
      </c>
      <c r="B9" s="14" t="s">
        <v>17</v>
      </c>
      <c r="C9" s="14" t="s">
        <v>18</v>
      </c>
      <c r="D9" s="14" t="s">
        <v>688</v>
      </c>
      <c r="E9" s="14" t="s">
        <v>688</v>
      </c>
      <c r="F9" s="14" t="s">
        <v>18</v>
      </c>
      <c r="G9" s="14" t="s">
        <v>19</v>
      </c>
      <c r="H9" s="15">
        <f>ROUND(SUMPRODUCT(SUMIF(Final!$G$4:$G$330,CashReserveLevy!D9:F9,Final!$C$4:$C$330)),0)</f>
        <v>14271156</v>
      </c>
      <c r="I9" s="15">
        <f t="shared" si="6"/>
        <v>2854231</v>
      </c>
      <c r="J9" s="15">
        <f>ROUND(SUMPRODUCT(SUMIF(Final!$G$4:$G$330,CashReserveLevy!D9:F9,Final!$E$4:$E$330)),0)</f>
        <v>4071860</v>
      </c>
      <c r="K9" s="15">
        <f t="shared" si="1"/>
        <v>0</v>
      </c>
      <c r="L9" s="37">
        <f>INDEX(ActualCRLevy_SAS!$A$2:$D$326,MATCH(CashReserveLevy!$C9,ActualCRLevy_SAS!$B$2:$B$326,0),4)</f>
        <v>0</v>
      </c>
      <c r="M9" s="38" t="str">
        <f t="shared" si="2"/>
        <v/>
      </c>
      <c r="N9" s="17" t="str">
        <f t="shared" si="3"/>
        <v/>
      </c>
      <c r="O9" s="17" t="str">
        <f t="shared" si="0"/>
        <v/>
      </c>
      <c r="Q9" s="36">
        <f t="shared" si="4"/>
        <v>0</v>
      </c>
      <c r="U9" s="37">
        <v>0</v>
      </c>
      <c r="V9" s="36">
        <f t="shared" si="5"/>
        <v>0</v>
      </c>
    </row>
    <row r="10" spans="1:22" x14ac:dyDescent="0.2">
      <c r="A10" s="14">
        <v>2024</v>
      </c>
      <c r="B10" s="14" t="s">
        <v>20</v>
      </c>
      <c r="C10" s="14" t="s">
        <v>21</v>
      </c>
      <c r="D10" s="14" t="s">
        <v>688</v>
      </c>
      <c r="E10" s="14" t="s">
        <v>688</v>
      </c>
      <c r="F10" s="14" t="s">
        <v>21</v>
      </c>
      <c r="G10" s="14" t="s">
        <v>22</v>
      </c>
      <c r="H10" s="15">
        <f>ROUND(SUMPRODUCT(SUMIF(Final!$G$4:$G$330,CashReserveLevy!D10:F10,Final!$C$4:$C$330)),0)</f>
        <v>8476603</v>
      </c>
      <c r="I10" s="15">
        <f t="shared" si="6"/>
        <v>1695321</v>
      </c>
      <c r="J10" s="15">
        <f>ROUND(SUMPRODUCT(SUMIF(Final!$G$4:$G$330,CashReserveLevy!D10:F10,Final!$E$4:$E$330)),0)</f>
        <v>1952462</v>
      </c>
      <c r="K10" s="15">
        <f t="shared" si="1"/>
        <v>0</v>
      </c>
      <c r="L10" s="37">
        <f>INDEX(ActualCRLevy_SAS!$A$2:$D$326,MATCH(CashReserveLevy!$C10,ActualCRLevy_SAS!$B$2:$B$326,0),4)</f>
        <v>0</v>
      </c>
      <c r="M10" s="38" t="str">
        <f t="shared" si="2"/>
        <v/>
      </c>
      <c r="N10" s="17" t="str">
        <f t="shared" si="3"/>
        <v/>
      </c>
      <c r="O10" s="17" t="str">
        <f t="shared" si="0"/>
        <v/>
      </c>
      <c r="Q10" s="36">
        <f t="shared" si="4"/>
        <v>0</v>
      </c>
      <c r="U10" s="37">
        <v>0</v>
      </c>
      <c r="V10" s="36">
        <f t="shared" si="5"/>
        <v>0</v>
      </c>
    </row>
    <row r="11" spans="1:22" x14ac:dyDescent="0.2">
      <c r="A11" s="14">
        <v>2024</v>
      </c>
      <c r="B11" s="14" t="s">
        <v>5</v>
      </c>
      <c r="C11" s="14" t="s">
        <v>23</v>
      </c>
      <c r="D11" s="14" t="s">
        <v>688</v>
      </c>
      <c r="E11" s="14" t="s">
        <v>688</v>
      </c>
      <c r="F11" s="14" t="s">
        <v>23</v>
      </c>
      <c r="G11" s="14" t="s">
        <v>24</v>
      </c>
      <c r="H11" s="15">
        <f>ROUND(SUMPRODUCT(SUMIF(Final!$G$4:$G$330,CashReserveLevy!D11:F11,Final!$C$4:$C$330)),0)</f>
        <v>3876814</v>
      </c>
      <c r="I11" s="15">
        <f t="shared" si="6"/>
        <v>775363</v>
      </c>
      <c r="J11" s="15">
        <f>ROUND(SUMPRODUCT(SUMIF(Final!$G$4:$G$330,CashReserveLevy!D11:F11,Final!$E$4:$E$330)),0)</f>
        <v>127457</v>
      </c>
      <c r="K11" s="15">
        <f t="shared" si="1"/>
        <v>647906</v>
      </c>
      <c r="L11" s="37">
        <f>INDEX(ActualCRLevy_SAS!$A$2:$D$326,MATCH(CashReserveLevy!$C11,ActualCRLevy_SAS!$B$2:$B$326,0),4)</f>
        <v>400000</v>
      </c>
      <c r="M11" s="38" t="str">
        <f t="shared" si="2"/>
        <v/>
      </c>
      <c r="N11" s="17" t="str">
        <f t="shared" si="3"/>
        <v/>
      </c>
      <c r="O11" s="17" t="str">
        <f t="shared" si="0"/>
        <v/>
      </c>
      <c r="Q11" s="36">
        <f t="shared" si="4"/>
        <v>247906</v>
      </c>
      <c r="U11" s="37">
        <v>647906</v>
      </c>
      <c r="V11" s="36">
        <f t="shared" si="5"/>
        <v>0</v>
      </c>
    </row>
    <row r="12" spans="1:22" x14ac:dyDescent="0.2">
      <c r="A12" s="14">
        <v>2024</v>
      </c>
      <c r="B12" s="14" t="s">
        <v>14</v>
      </c>
      <c r="C12" s="14" t="s">
        <v>25</v>
      </c>
      <c r="D12" s="14" t="s">
        <v>27</v>
      </c>
      <c r="E12" s="14" t="s">
        <v>342</v>
      </c>
      <c r="F12" s="14" t="s">
        <v>25</v>
      </c>
      <c r="G12" s="14" t="s">
        <v>26</v>
      </c>
      <c r="H12" s="15">
        <f>ROUND(SUMPRODUCT(SUMIF(Final!$G$4:$G$330,CashReserveLevy!D12:F12,Final!$C$4:$C$330)),0)</f>
        <v>22878245</v>
      </c>
      <c r="I12" s="15">
        <f t="shared" si="6"/>
        <v>4575649</v>
      </c>
      <c r="J12" s="15">
        <f>ROUND(SUMPRODUCT(SUMIF(Final!$G$4:$G$330,CashReserveLevy!D12:F12,Final!$E$4:$E$330)),0)</f>
        <v>3679749</v>
      </c>
      <c r="K12" s="15">
        <f t="shared" si="1"/>
        <v>895900</v>
      </c>
      <c r="L12" s="37">
        <f>INDEX(ActualCRLevy_SAS!$A$2:$D$326,MATCH(CashReserveLevy!$C12,ActualCRLevy_SAS!$B$2:$B$326,0),4)</f>
        <v>895900</v>
      </c>
      <c r="M12" s="38" t="str">
        <f t="shared" si="2"/>
        <v>Max</v>
      </c>
      <c r="N12" s="17" t="str">
        <f t="shared" si="3"/>
        <v/>
      </c>
      <c r="O12" s="17" t="str">
        <f t="shared" si="0"/>
        <v/>
      </c>
      <c r="Q12" s="36">
        <f t="shared" si="4"/>
        <v>0</v>
      </c>
      <c r="U12" s="37">
        <v>895900</v>
      </c>
      <c r="V12" s="36">
        <f t="shared" si="5"/>
        <v>0</v>
      </c>
    </row>
    <row r="13" spans="1:22" x14ac:dyDescent="0.2">
      <c r="A13" s="14">
        <v>2024</v>
      </c>
      <c r="B13" s="14" t="s">
        <v>28</v>
      </c>
      <c r="C13" s="14" t="s">
        <v>29</v>
      </c>
      <c r="D13" s="14" t="s">
        <v>688</v>
      </c>
      <c r="E13" s="14" t="s">
        <v>688</v>
      </c>
      <c r="F13" s="14" t="s">
        <v>29</v>
      </c>
      <c r="G13" s="14" t="s">
        <v>30</v>
      </c>
      <c r="H13" s="15">
        <f>ROUND(SUMPRODUCT(SUMIF(Final!$G$4:$G$330,CashReserveLevy!D13:F13,Final!$C$4:$C$330)),0)</f>
        <v>14603162</v>
      </c>
      <c r="I13" s="15">
        <f t="shared" si="6"/>
        <v>2920632</v>
      </c>
      <c r="J13" s="15">
        <f>ROUND(SUMPRODUCT(SUMIF(Final!$G$4:$G$330,CashReserveLevy!D13:F13,Final!$E$4:$E$330)),0)</f>
        <v>3081424</v>
      </c>
      <c r="K13" s="15">
        <f t="shared" si="1"/>
        <v>0</v>
      </c>
      <c r="L13" s="37">
        <f>INDEX(ActualCRLevy_SAS!$A$2:$D$326,MATCH(CashReserveLevy!$C13,ActualCRLevy_SAS!$B$2:$B$326,0),4)</f>
        <v>0</v>
      </c>
      <c r="M13" s="38" t="str">
        <f t="shared" si="2"/>
        <v/>
      </c>
      <c r="N13" s="17" t="str">
        <f t="shared" si="3"/>
        <v/>
      </c>
      <c r="O13" s="17" t="str">
        <f t="shared" ref="O13:O76" si="7">IF(L13&gt;K13,"Exceedes Maximum Limit","")</f>
        <v/>
      </c>
      <c r="Q13" s="36">
        <f t="shared" si="4"/>
        <v>0</v>
      </c>
      <c r="U13" s="37">
        <v>0</v>
      </c>
      <c r="V13" s="36">
        <f t="shared" si="5"/>
        <v>0</v>
      </c>
    </row>
    <row r="14" spans="1:22" x14ac:dyDescent="0.2">
      <c r="A14" s="14">
        <v>2024</v>
      </c>
      <c r="B14" s="14" t="s">
        <v>14</v>
      </c>
      <c r="C14" s="14" t="s">
        <v>31</v>
      </c>
      <c r="D14" s="14" t="s">
        <v>688</v>
      </c>
      <c r="E14" s="14" t="s">
        <v>688</v>
      </c>
      <c r="F14" s="14" t="s">
        <v>31</v>
      </c>
      <c r="G14" s="14" t="s">
        <v>32</v>
      </c>
      <c r="H14" s="15">
        <f>ROUND(SUMPRODUCT(SUMIF(Final!$G$4:$G$330,CashReserveLevy!D14:F14,Final!$C$4:$C$330)),0)</f>
        <v>11385819</v>
      </c>
      <c r="I14" s="15">
        <f t="shared" si="6"/>
        <v>2277164</v>
      </c>
      <c r="J14" s="15">
        <f>ROUND(SUMPRODUCT(SUMIF(Final!$G$4:$G$330,CashReserveLevy!D14:F14,Final!$E$4:$E$330)),0)</f>
        <v>1634402</v>
      </c>
      <c r="K14" s="15">
        <f t="shared" si="1"/>
        <v>642762</v>
      </c>
      <c r="L14" s="37">
        <f>INDEX(ActualCRLevy_SAS!$A$2:$D$326,MATCH(CashReserveLevy!$C14,ActualCRLevy_SAS!$B$2:$B$326,0),4)</f>
        <v>350000</v>
      </c>
      <c r="M14" s="38" t="str">
        <f t="shared" si="2"/>
        <v/>
      </c>
      <c r="N14" s="17" t="str">
        <f t="shared" si="3"/>
        <v/>
      </c>
      <c r="O14" s="17" t="str">
        <f t="shared" si="7"/>
        <v/>
      </c>
      <c r="Q14" s="36">
        <f t="shared" si="4"/>
        <v>292762</v>
      </c>
      <c r="U14" s="37">
        <v>642762</v>
      </c>
      <c r="V14" s="36">
        <f t="shared" si="5"/>
        <v>0</v>
      </c>
    </row>
    <row r="15" spans="1:22" x14ac:dyDescent="0.2">
      <c r="A15" s="14">
        <v>2024</v>
      </c>
      <c r="B15" s="14" t="s">
        <v>0</v>
      </c>
      <c r="C15" s="14" t="s">
        <v>33</v>
      </c>
      <c r="D15" s="14" t="s">
        <v>688</v>
      </c>
      <c r="E15" s="14" t="s">
        <v>688</v>
      </c>
      <c r="F15" s="14" t="s">
        <v>33</v>
      </c>
      <c r="G15" s="14" t="s">
        <v>34</v>
      </c>
      <c r="H15" s="15">
        <f>ROUND(SUMPRODUCT(SUMIF(Final!$G$4:$G$330,CashReserveLevy!D15:F15,Final!$C$4:$C$330)),0)</f>
        <v>61294605</v>
      </c>
      <c r="I15" s="15">
        <f t="shared" si="6"/>
        <v>12258921</v>
      </c>
      <c r="J15" s="15">
        <f>ROUND(SUMPRODUCT(SUMIF(Final!$G$4:$G$330,CashReserveLevy!D15:F15,Final!$E$4:$E$330)),0)</f>
        <v>12577895</v>
      </c>
      <c r="K15" s="15">
        <f t="shared" si="1"/>
        <v>0</v>
      </c>
      <c r="L15" s="37">
        <f>INDEX(ActualCRLevy_SAS!$A$2:$D$326,MATCH(CashReserveLevy!$C15,ActualCRLevy_SAS!$B$2:$B$326,0),4)</f>
        <v>0</v>
      </c>
      <c r="M15" s="38" t="str">
        <f t="shared" si="2"/>
        <v/>
      </c>
      <c r="N15" s="17" t="str">
        <f t="shared" si="3"/>
        <v/>
      </c>
      <c r="O15" s="17" t="str">
        <f t="shared" si="7"/>
        <v/>
      </c>
      <c r="Q15" s="36">
        <f t="shared" si="4"/>
        <v>0</v>
      </c>
      <c r="U15" s="37">
        <v>0</v>
      </c>
      <c r="V15" s="36">
        <f t="shared" si="5"/>
        <v>0</v>
      </c>
    </row>
    <row r="16" spans="1:22" x14ac:dyDescent="0.2">
      <c r="A16" s="14">
        <v>2024</v>
      </c>
      <c r="B16" s="14" t="s">
        <v>20</v>
      </c>
      <c r="C16" s="14" t="s">
        <v>35</v>
      </c>
      <c r="D16" s="14" t="s">
        <v>688</v>
      </c>
      <c r="E16" s="14" t="s">
        <v>688</v>
      </c>
      <c r="F16" s="14" t="s">
        <v>35</v>
      </c>
      <c r="G16" s="14" t="s">
        <v>36</v>
      </c>
      <c r="H16" s="15">
        <f>ROUND(SUMPRODUCT(SUMIF(Final!$G$4:$G$330,CashReserveLevy!D16:F16,Final!$C$4:$C$330)),0)</f>
        <v>16741535</v>
      </c>
      <c r="I16" s="15">
        <f t="shared" si="6"/>
        <v>3348307</v>
      </c>
      <c r="J16" s="15">
        <f>ROUND(SUMPRODUCT(SUMIF(Final!$G$4:$G$330,CashReserveLevy!D16:F16,Final!$E$4:$E$330)),0)</f>
        <v>4432442</v>
      </c>
      <c r="K16" s="15">
        <f t="shared" si="1"/>
        <v>0</v>
      </c>
      <c r="L16" s="37">
        <f>INDEX(ActualCRLevy_SAS!$A$2:$D$326,MATCH(CashReserveLevy!$C16,ActualCRLevy_SAS!$B$2:$B$326,0),4)</f>
        <v>0</v>
      </c>
      <c r="M16" s="38" t="str">
        <f t="shared" si="2"/>
        <v/>
      </c>
      <c r="N16" s="17" t="str">
        <f t="shared" si="3"/>
        <v/>
      </c>
      <c r="O16" s="17" t="str">
        <f t="shared" si="7"/>
        <v/>
      </c>
      <c r="Q16" s="36">
        <f t="shared" si="4"/>
        <v>0</v>
      </c>
      <c r="U16" s="37">
        <v>0</v>
      </c>
      <c r="V16" s="36">
        <f t="shared" si="5"/>
        <v>0</v>
      </c>
    </row>
    <row r="17" spans="1:22" x14ac:dyDescent="0.2">
      <c r="A17" s="14">
        <v>2024</v>
      </c>
      <c r="B17" s="14" t="s">
        <v>37</v>
      </c>
      <c r="C17" s="14" t="s">
        <v>38</v>
      </c>
      <c r="D17" s="14" t="s">
        <v>688</v>
      </c>
      <c r="E17" s="14" t="s">
        <v>688</v>
      </c>
      <c r="F17" s="14" t="s">
        <v>38</v>
      </c>
      <c r="G17" s="14" t="s">
        <v>39</v>
      </c>
      <c r="H17" s="15">
        <f>ROUND(SUMPRODUCT(SUMIF(Final!$G$4:$G$330,CashReserveLevy!D17:F17,Final!$C$4:$C$330)),0)</f>
        <v>3748758</v>
      </c>
      <c r="I17" s="15">
        <f t="shared" si="6"/>
        <v>749752</v>
      </c>
      <c r="J17" s="15">
        <f>ROUND(SUMPRODUCT(SUMIF(Final!$G$4:$G$330,CashReserveLevy!D17:F17,Final!$E$4:$E$330)),0)</f>
        <v>538148</v>
      </c>
      <c r="K17" s="15">
        <f t="shared" si="1"/>
        <v>211604</v>
      </c>
      <c r="L17" s="37">
        <f>INDEX(ActualCRLevy_SAS!$A$2:$D$326,MATCH(CashReserveLevy!$C17,ActualCRLevy_SAS!$B$2:$B$326,0),4)</f>
        <v>170000</v>
      </c>
      <c r="M17" s="38" t="str">
        <f t="shared" si="2"/>
        <v/>
      </c>
      <c r="N17" s="17" t="str">
        <f t="shared" si="3"/>
        <v/>
      </c>
      <c r="O17" s="17" t="str">
        <f t="shared" si="7"/>
        <v/>
      </c>
      <c r="Q17" s="36">
        <f t="shared" si="4"/>
        <v>41604</v>
      </c>
      <c r="U17" s="37">
        <v>211604</v>
      </c>
      <c r="V17" s="36">
        <f t="shared" si="5"/>
        <v>0</v>
      </c>
    </row>
    <row r="18" spans="1:22" x14ac:dyDescent="0.2">
      <c r="A18" s="14">
        <v>2024</v>
      </c>
      <c r="B18" s="14" t="s">
        <v>0</v>
      </c>
      <c r="C18" s="14" t="s">
        <v>40</v>
      </c>
      <c r="D18" s="14" t="s">
        <v>688</v>
      </c>
      <c r="E18" s="14" t="s">
        <v>688</v>
      </c>
      <c r="F18" s="14" t="s">
        <v>40</v>
      </c>
      <c r="G18" s="14" t="s">
        <v>41</v>
      </c>
      <c r="H18" s="15">
        <f>ROUND(SUMPRODUCT(SUMIF(Final!$G$4:$G$330,CashReserveLevy!D18:F18,Final!$C$4:$C$330)),0)</f>
        <v>148362662</v>
      </c>
      <c r="I18" s="15">
        <f t="shared" si="6"/>
        <v>29672532</v>
      </c>
      <c r="J18" s="15">
        <f>ROUND(SUMPRODUCT(SUMIF(Final!$G$4:$G$330,CashReserveLevy!D18:F18,Final!$E$4:$E$330)),0)</f>
        <v>16727252</v>
      </c>
      <c r="K18" s="15">
        <f t="shared" si="1"/>
        <v>12945280</v>
      </c>
      <c r="L18" s="37">
        <f>INDEX(ActualCRLevy_SAS!$A$2:$D$326,MATCH(CashReserveLevy!$C18,ActualCRLevy_SAS!$B$2:$B$326,0),4)</f>
        <v>11047397</v>
      </c>
      <c r="M18" s="38" t="str">
        <f t="shared" si="2"/>
        <v/>
      </c>
      <c r="N18" s="17" t="str">
        <f t="shared" si="3"/>
        <v/>
      </c>
      <c r="O18" s="17" t="str">
        <f t="shared" si="7"/>
        <v/>
      </c>
      <c r="Q18" s="36">
        <f t="shared" si="4"/>
        <v>1897883</v>
      </c>
      <c r="U18" s="37">
        <v>12945280</v>
      </c>
      <c r="V18" s="36">
        <f t="shared" si="5"/>
        <v>0</v>
      </c>
    </row>
    <row r="19" spans="1:22" x14ac:dyDescent="0.2">
      <c r="A19" s="14">
        <v>2024</v>
      </c>
      <c r="B19" s="14" t="s">
        <v>5</v>
      </c>
      <c r="C19" s="14" t="s">
        <v>42</v>
      </c>
      <c r="D19" s="14" t="s">
        <v>688</v>
      </c>
      <c r="E19" s="14" t="s">
        <v>688</v>
      </c>
      <c r="F19" s="14" t="s">
        <v>42</v>
      </c>
      <c r="G19" s="14" t="s">
        <v>43</v>
      </c>
      <c r="H19" s="15">
        <f>ROUND(SUMPRODUCT(SUMIF(Final!$G$4:$G$330,CashReserveLevy!D19:F19,Final!$C$4:$C$330)),0)</f>
        <v>10125203</v>
      </c>
      <c r="I19" s="15">
        <f t="shared" si="6"/>
        <v>2025041</v>
      </c>
      <c r="J19" s="15">
        <f>ROUND(SUMPRODUCT(SUMIF(Final!$G$4:$G$330,CashReserveLevy!D19:F19,Final!$E$4:$E$330)),0)</f>
        <v>2610572</v>
      </c>
      <c r="K19" s="15">
        <f t="shared" si="1"/>
        <v>0</v>
      </c>
      <c r="L19" s="37">
        <f>INDEX(ActualCRLevy_SAS!$A$2:$D$326,MATCH(CashReserveLevy!$C19,ActualCRLevy_SAS!$B$2:$B$326,0),4)</f>
        <v>0</v>
      </c>
      <c r="M19" s="38" t="str">
        <f t="shared" si="2"/>
        <v/>
      </c>
      <c r="N19" s="17" t="str">
        <f t="shared" si="3"/>
        <v/>
      </c>
      <c r="O19" s="17" t="str">
        <f t="shared" si="7"/>
        <v/>
      </c>
      <c r="Q19" s="36">
        <f t="shared" si="4"/>
        <v>0</v>
      </c>
      <c r="U19" s="37">
        <v>0</v>
      </c>
      <c r="V19" s="36">
        <f t="shared" si="5"/>
        <v>0</v>
      </c>
    </row>
    <row r="20" spans="1:22" x14ac:dyDescent="0.2">
      <c r="A20" s="14">
        <v>2024</v>
      </c>
      <c r="B20" s="14" t="s">
        <v>11</v>
      </c>
      <c r="C20" s="14" t="s">
        <v>44</v>
      </c>
      <c r="D20" s="14" t="s">
        <v>688</v>
      </c>
      <c r="E20" s="14" t="s">
        <v>688</v>
      </c>
      <c r="F20" s="14" t="s">
        <v>44</v>
      </c>
      <c r="G20" s="14" t="s">
        <v>45</v>
      </c>
      <c r="H20" s="15">
        <f>ROUND(SUMPRODUCT(SUMIF(Final!$G$4:$G$330,CashReserveLevy!D20:F20,Final!$C$4:$C$330)),0)</f>
        <v>3717537</v>
      </c>
      <c r="I20" s="15">
        <f t="shared" si="6"/>
        <v>743507</v>
      </c>
      <c r="J20" s="15">
        <f>ROUND(SUMPRODUCT(SUMIF(Final!$G$4:$G$330,CashReserveLevy!D20:F20,Final!$E$4:$E$330)),0)</f>
        <v>1925063</v>
      </c>
      <c r="K20" s="15">
        <f t="shared" si="1"/>
        <v>0</v>
      </c>
      <c r="L20" s="37">
        <f>INDEX(ActualCRLevy_SAS!$A$2:$D$326,MATCH(CashReserveLevy!$C20,ActualCRLevy_SAS!$B$2:$B$326,0),4)</f>
        <v>0</v>
      </c>
      <c r="M20" s="38" t="str">
        <f t="shared" si="2"/>
        <v/>
      </c>
      <c r="N20" s="17" t="str">
        <f t="shared" si="3"/>
        <v/>
      </c>
      <c r="O20" s="17" t="str">
        <f t="shared" si="7"/>
        <v/>
      </c>
      <c r="Q20" s="36">
        <f t="shared" si="4"/>
        <v>0</v>
      </c>
      <c r="U20" s="37">
        <v>0</v>
      </c>
      <c r="V20" s="36">
        <f t="shared" si="5"/>
        <v>0</v>
      </c>
    </row>
    <row r="21" spans="1:22" x14ac:dyDescent="0.2">
      <c r="A21" s="14">
        <v>2024</v>
      </c>
      <c r="B21" s="14" t="s">
        <v>8</v>
      </c>
      <c r="C21" s="14" t="s">
        <v>46</v>
      </c>
      <c r="D21" s="14" t="s">
        <v>688</v>
      </c>
      <c r="E21" s="14" t="s">
        <v>688</v>
      </c>
      <c r="F21" s="14" t="s">
        <v>46</v>
      </c>
      <c r="G21" s="14" t="s">
        <v>47</v>
      </c>
      <c r="H21" s="15">
        <f>ROUND(SUMPRODUCT(SUMIF(Final!$G$4:$G$330,CashReserveLevy!D21:F21,Final!$C$4:$C$330)),0)</f>
        <v>18916816</v>
      </c>
      <c r="I21" s="15">
        <f t="shared" si="6"/>
        <v>3783363</v>
      </c>
      <c r="J21" s="15">
        <f>ROUND(SUMPRODUCT(SUMIF(Final!$G$4:$G$330,CashReserveLevy!D21:F21,Final!$E$4:$E$330)),0)</f>
        <v>3124645</v>
      </c>
      <c r="K21" s="15">
        <f t="shared" si="1"/>
        <v>658718</v>
      </c>
      <c r="L21" s="37">
        <f>INDEX(ActualCRLevy_SAS!$A$2:$D$326,MATCH(CashReserveLevy!$C21,ActualCRLevy_SAS!$B$2:$B$326,0),4)</f>
        <v>658718</v>
      </c>
      <c r="M21" s="38" t="str">
        <f t="shared" si="2"/>
        <v>Max</v>
      </c>
      <c r="N21" s="17" t="str">
        <f t="shared" si="3"/>
        <v/>
      </c>
      <c r="O21" s="17" t="str">
        <f t="shared" si="7"/>
        <v/>
      </c>
      <c r="Q21" s="36">
        <f t="shared" si="4"/>
        <v>0</v>
      </c>
      <c r="U21" s="37">
        <v>658718</v>
      </c>
      <c r="V21" s="36">
        <f t="shared" si="5"/>
        <v>0</v>
      </c>
    </row>
    <row r="22" spans="1:22" x14ac:dyDescent="0.2">
      <c r="A22" s="14">
        <v>2024</v>
      </c>
      <c r="B22" s="14" t="s">
        <v>0</v>
      </c>
      <c r="C22" s="14" t="s">
        <v>48</v>
      </c>
      <c r="D22" s="14" t="s">
        <v>688</v>
      </c>
      <c r="E22" s="14" t="s">
        <v>688</v>
      </c>
      <c r="F22" s="14" t="s">
        <v>48</v>
      </c>
      <c r="G22" s="14" t="s">
        <v>49</v>
      </c>
      <c r="H22" s="15">
        <f>ROUND(SUMPRODUCT(SUMIF(Final!$G$4:$G$330,CashReserveLevy!D22:F22,Final!$C$4:$C$330)),0)</f>
        <v>7272865</v>
      </c>
      <c r="I22" s="15">
        <f t="shared" si="6"/>
        <v>1454573</v>
      </c>
      <c r="J22" s="15">
        <f>ROUND(SUMPRODUCT(SUMIF(Final!$G$4:$G$330,CashReserveLevy!D22:F22,Final!$E$4:$E$330)),0)</f>
        <v>1314102</v>
      </c>
      <c r="K22" s="15">
        <f t="shared" si="1"/>
        <v>140471</v>
      </c>
      <c r="L22" s="37">
        <f>INDEX(ActualCRLevy_SAS!$A$2:$D$326,MATCH(CashReserveLevy!$C22,ActualCRLevy_SAS!$B$2:$B$326,0),4)</f>
        <v>140471</v>
      </c>
      <c r="M22" s="38" t="str">
        <f t="shared" si="2"/>
        <v>Max</v>
      </c>
      <c r="N22" s="17" t="str">
        <f t="shared" si="3"/>
        <v/>
      </c>
      <c r="O22" s="17" t="str">
        <f t="shared" si="7"/>
        <v/>
      </c>
      <c r="Q22" s="36">
        <f t="shared" si="4"/>
        <v>0</v>
      </c>
      <c r="U22" s="37">
        <v>140471</v>
      </c>
      <c r="V22" s="36">
        <f t="shared" si="5"/>
        <v>0</v>
      </c>
    </row>
    <row r="23" spans="1:22" x14ac:dyDescent="0.2">
      <c r="A23" s="14">
        <v>2024</v>
      </c>
      <c r="B23" s="14" t="s">
        <v>0</v>
      </c>
      <c r="C23" s="14" t="s">
        <v>50</v>
      </c>
      <c r="D23" s="14" t="s">
        <v>688</v>
      </c>
      <c r="E23" s="14" t="s">
        <v>688</v>
      </c>
      <c r="F23" s="14" t="s">
        <v>50</v>
      </c>
      <c r="G23" s="14" t="s">
        <v>51</v>
      </c>
      <c r="H23" s="15">
        <f>ROUND(SUMPRODUCT(SUMIF(Final!$G$4:$G$330,CashReserveLevy!D23:F23,Final!$C$4:$C$330)),0)</f>
        <v>21737477</v>
      </c>
      <c r="I23" s="15">
        <f t="shared" si="6"/>
        <v>4347495</v>
      </c>
      <c r="J23" s="15">
        <f>ROUND(SUMPRODUCT(SUMIF(Final!$G$4:$G$330,CashReserveLevy!D23:F23,Final!$E$4:$E$330)),0)</f>
        <v>3088911</v>
      </c>
      <c r="K23" s="15">
        <f t="shared" si="1"/>
        <v>1258584</v>
      </c>
      <c r="L23" s="37">
        <f>INDEX(ActualCRLevy_SAS!$A$2:$D$326,MATCH(CashReserveLevy!$C23,ActualCRLevy_SAS!$B$2:$B$326,0),4)</f>
        <v>1258584</v>
      </c>
      <c r="M23" s="38" t="str">
        <f t="shared" si="2"/>
        <v>Max</v>
      </c>
      <c r="N23" s="17" t="str">
        <f t="shared" si="3"/>
        <v/>
      </c>
      <c r="O23" s="17" t="str">
        <f t="shared" si="7"/>
        <v/>
      </c>
      <c r="Q23" s="36">
        <f t="shared" si="4"/>
        <v>0</v>
      </c>
      <c r="U23" s="37">
        <v>1258584</v>
      </c>
      <c r="V23" s="36">
        <f t="shared" si="5"/>
        <v>0</v>
      </c>
    </row>
    <row r="24" spans="1:22" x14ac:dyDescent="0.2">
      <c r="A24" s="14">
        <v>2024</v>
      </c>
      <c r="B24" s="14" t="s">
        <v>0</v>
      </c>
      <c r="C24" s="14" t="s">
        <v>52</v>
      </c>
      <c r="D24" s="14" t="s">
        <v>688</v>
      </c>
      <c r="E24" s="14" t="s">
        <v>688</v>
      </c>
      <c r="F24" s="14" t="s">
        <v>52</v>
      </c>
      <c r="G24" s="14" t="s">
        <v>53</v>
      </c>
      <c r="H24" s="15">
        <f>ROUND(SUMPRODUCT(SUMIF(Final!$G$4:$G$330,CashReserveLevy!D24:F24,Final!$C$4:$C$330)),0)</f>
        <v>5668120</v>
      </c>
      <c r="I24" s="15">
        <f t="shared" si="6"/>
        <v>1133624</v>
      </c>
      <c r="J24" s="15">
        <f>ROUND(SUMPRODUCT(SUMIF(Final!$G$4:$G$330,CashReserveLevy!D24:F24,Final!$E$4:$E$330)),0)</f>
        <v>92318</v>
      </c>
      <c r="K24" s="15">
        <f t="shared" si="1"/>
        <v>1041306</v>
      </c>
      <c r="L24" s="37">
        <f>INDEX(ActualCRLevy_SAS!$A$2:$D$326,MATCH(CashReserveLevy!$C24,ActualCRLevy_SAS!$B$2:$B$326,0),4)</f>
        <v>495487</v>
      </c>
      <c r="M24" s="38" t="str">
        <f t="shared" si="2"/>
        <v/>
      </c>
      <c r="N24" s="17" t="str">
        <f t="shared" si="3"/>
        <v/>
      </c>
      <c r="O24" s="17" t="str">
        <f t="shared" si="7"/>
        <v/>
      </c>
      <c r="Q24" s="36">
        <f t="shared" si="4"/>
        <v>545819</v>
      </c>
      <c r="U24" s="37">
        <v>1041306</v>
      </c>
      <c r="V24" s="36">
        <f t="shared" si="5"/>
        <v>0</v>
      </c>
    </row>
    <row r="25" spans="1:22" x14ac:dyDescent="0.2">
      <c r="A25" s="14">
        <v>2024</v>
      </c>
      <c r="B25" s="14" t="s">
        <v>5</v>
      </c>
      <c r="C25" s="14" t="s">
        <v>54</v>
      </c>
      <c r="D25" s="14" t="s">
        <v>688</v>
      </c>
      <c r="E25" s="14" t="s">
        <v>688</v>
      </c>
      <c r="F25" s="14" t="s">
        <v>54</v>
      </c>
      <c r="G25" s="14" t="s">
        <v>55</v>
      </c>
      <c r="H25" s="15">
        <f>ROUND(SUMPRODUCT(SUMIF(Final!$G$4:$G$330,CashReserveLevy!D25:F25,Final!$C$4:$C$330)),0)</f>
        <v>7779281</v>
      </c>
      <c r="I25" s="15">
        <f t="shared" si="6"/>
        <v>1555856</v>
      </c>
      <c r="J25" s="15">
        <f>ROUND(SUMPRODUCT(SUMIF(Final!$G$4:$G$330,CashReserveLevy!D25:F25,Final!$E$4:$E$330)),0)</f>
        <v>1725410</v>
      </c>
      <c r="K25" s="15">
        <f t="shared" si="1"/>
        <v>0</v>
      </c>
      <c r="L25" s="37">
        <f>INDEX(ActualCRLevy_SAS!$A$2:$D$326,MATCH(CashReserveLevy!$C25,ActualCRLevy_SAS!$B$2:$B$326,0),4)</f>
        <v>0</v>
      </c>
      <c r="M25" s="38" t="str">
        <f t="shared" si="2"/>
        <v/>
      </c>
      <c r="N25" s="17" t="str">
        <f t="shared" si="3"/>
        <v/>
      </c>
      <c r="O25" s="17" t="str">
        <f t="shared" si="7"/>
        <v/>
      </c>
      <c r="Q25" s="36">
        <f t="shared" si="4"/>
        <v>0</v>
      </c>
      <c r="U25" s="37">
        <v>0</v>
      </c>
      <c r="V25" s="36">
        <f t="shared" si="5"/>
        <v>0</v>
      </c>
    </row>
    <row r="26" spans="1:22" x14ac:dyDescent="0.2">
      <c r="A26" s="14">
        <v>2024</v>
      </c>
      <c r="B26" s="14" t="s">
        <v>8</v>
      </c>
      <c r="C26" s="14" t="s">
        <v>56</v>
      </c>
      <c r="D26" s="14" t="s">
        <v>688</v>
      </c>
      <c r="E26" s="14" t="s">
        <v>688</v>
      </c>
      <c r="F26" s="14" t="s">
        <v>56</v>
      </c>
      <c r="G26" s="14" t="s">
        <v>57</v>
      </c>
      <c r="H26" s="15">
        <f>ROUND(SUMPRODUCT(SUMIF(Final!$G$4:$G$330,CashReserveLevy!D26:F26,Final!$C$4:$C$330)),0)</f>
        <v>7114921</v>
      </c>
      <c r="I26" s="15">
        <f t="shared" si="6"/>
        <v>1422984</v>
      </c>
      <c r="J26" s="15">
        <f>ROUND(SUMPRODUCT(SUMIF(Final!$G$4:$G$330,CashReserveLevy!D26:F26,Final!$E$4:$E$330)),0)</f>
        <v>1048773</v>
      </c>
      <c r="K26" s="15">
        <f t="shared" si="1"/>
        <v>374211</v>
      </c>
      <c r="L26" s="37">
        <f>INDEX(ActualCRLevy_SAS!$A$2:$D$326,MATCH(CashReserveLevy!$C26,ActualCRLevy_SAS!$B$2:$B$326,0),4)</f>
        <v>161180</v>
      </c>
      <c r="M26" s="38" t="str">
        <f t="shared" si="2"/>
        <v/>
      </c>
      <c r="N26" s="17" t="str">
        <f t="shared" si="3"/>
        <v/>
      </c>
      <c r="O26" s="17" t="str">
        <f t="shared" si="7"/>
        <v/>
      </c>
      <c r="Q26" s="36">
        <f t="shared" si="4"/>
        <v>213031</v>
      </c>
      <c r="U26" s="37">
        <v>374211</v>
      </c>
      <c r="V26" s="36">
        <f t="shared" si="5"/>
        <v>0</v>
      </c>
    </row>
    <row r="27" spans="1:22" x14ac:dyDescent="0.2">
      <c r="A27" s="14">
        <v>2024</v>
      </c>
      <c r="B27" s="14" t="s">
        <v>20</v>
      </c>
      <c r="C27" s="14" t="s">
        <v>58</v>
      </c>
      <c r="D27" s="14" t="s">
        <v>688</v>
      </c>
      <c r="E27" s="14" t="s">
        <v>688</v>
      </c>
      <c r="F27" s="14" t="s">
        <v>58</v>
      </c>
      <c r="G27" s="14" t="s">
        <v>59</v>
      </c>
      <c r="H27" s="15">
        <f>ROUND(SUMPRODUCT(SUMIF(Final!$G$4:$G$330,CashReserveLevy!D27:F27,Final!$C$4:$C$330)),0)</f>
        <v>6413325</v>
      </c>
      <c r="I27" s="15">
        <f t="shared" si="6"/>
        <v>1282665</v>
      </c>
      <c r="J27" s="15">
        <f>ROUND(SUMPRODUCT(SUMIF(Final!$G$4:$G$330,CashReserveLevy!D27:F27,Final!$E$4:$E$330)),0)</f>
        <v>2622574</v>
      </c>
      <c r="K27" s="15">
        <f t="shared" si="1"/>
        <v>0</v>
      </c>
      <c r="L27" s="37">
        <f>INDEX(ActualCRLevy_SAS!$A$2:$D$326,MATCH(CashReserveLevy!$C27,ActualCRLevy_SAS!$B$2:$B$326,0),4)</f>
        <v>0</v>
      </c>
      <c r="M27" s="38" t="str">
        <f t="shared" si="2"/>
        <v/>
      </c>
      <c r="N27" s="17" t="str">
        <f t="shared" si="3"/>
        <v/>
      </c>
      <c r="O27" s="17" t="str">
        <f t="shared" si="7"/>
        <v/>
      </c>
      <c r="Q27" s="36">
        <f t="shared" si="4"/>
        <v>0</v>
      </c>
      <c r="U27" s="37">
        <v>0</v>
      </c>
      <c r="V27" s="36">
        <f t="shared" si="5"/>
        <v>0</v>
      </c>
    </row>
    <row r="28" spans="1:22" x14ac:dyDescent="0.2">
      <c r="A28" s="14">
        <v>2024</v>
      </c>
      <c r="B28" s="14" t="s">
        <v>37</v>
      </c>
      <c r="C28" s="14" t="s">
        <v>60</v>
      </c>
      <c r="D28" s="14" t="s">
        <v>688</v>
      </c>
      <c r="E28" s="14" t="s">
        <v>688</v>
      </c>
      <c r="F28" s="14" t="s">
        <v>60</v>
      </c>
      <c r="G28" s="14" t="s">
        <v>61</v>
      </c>
      <c r="H28" s="15">
        <f>ROUND(SUMPRODUCT(SUMIF(Final!$G$4:$G$330,CashReserveLevy!D28:F28,Final!$C$4:$C$330)),0)</f>
        <v>8328789</v>
      </c>
      <c r="I28" s="15">
        <f t="shared" si="6"/>
        <v>1665758</v>
      </c>
      <c r="J28" s="15">
        <f>ROUND(SUMPRODUCT(SUMIF(Final!$G$4:$G$330,CashReserveLevy!D28:F28,Final!$E$4:$E$330)),0)</f>
        <v>2022934</v>
      </c>
      <c r="K28" s="15">
        <f t="shared" si="1"/>
        <v>0</v>
      </c>
      <c r="L28" s="37">
        <f>INDEX(ActualCRLevy_SAS!$A$2:$D$326,MATCH(CashReserveLevy!$C28,ActualCRLevy_SAS!$B$2:$B$326,0),4)</f>
        <v>0</v>
      </c>
      <c r="M28" s="38" t="str">
        <f t="shared" si="2"/>
        <v/>
      </c>
      <c r="N28" s="17" t="str">
        <f t="shared" si="3"/>
        <v/>
      </c>
      <c r="O28" s="17" t="str">
        <f t="shared" si="7"/>
        <v/>
      </c>
      <c r="Q28" s="36">
        <f t="shared" si="4"/>
        <v>0</v>
      </c>
      <c r="U28" s="37">
        <v>0</v>
      </c>
      <c r="V28" s="36">
        <f t="shared" si="5"/>
        <v>0</v>
      </c>
    </row>
    <row r="29" spans="1:22" x14ac:dyDescent="0.2">
      <c r="A29" s="14">
        <v>2024</v>
      </c>
      <c r="B29" s="14" t="s">
        <v>5</v>
      </c>
      <c r="C29" s="14" t="s">
        <v>62</v>
      </c>
      <c r="D29" s="14" t="s">
        <v>688</v>
      </c>
      <c r="E29" s="14" t="s">
        <v>688</v>
      </c>
      <c r="F29" s="14" t="s">
        <v>62</v>
      </c>
      <c r="G29" s="14" t="s">
        <v>63</v>
      </c>
      <c r="H29" s="15">
        <f>ROUND(SUMPRODUCT(SUMIF(Final!$G$4:$G$330,CashReserveLevy!D29:F29,Final!$C$4:$C$330)),0)</f>
        <v>10429826</v>
      </c>
      <c r="I29" s="15">
        <f t="shared" si="6"/>
        <v>2085965</v>
      </c>
      <c r="J29" s="15">
        <f>ROUND(SUMPRODUCT(SUMIF(Final!$G$4:$G$330,CashReserveLevy!D29:F29,Final!$E$4:$E$330)),0)</f>
        <v>2015570</v>
      </c>
      <c r="K29" s="15">
        <f t="shared" si="1"/>
        <v>70395</v>
      </c>
      <c r="L29" s="37">
        <f>INDEX(ActualCRLevy_SAS!$A$2:$D$326,MATCH(CashReserveLevy!$C29,ActualCRLevy_SAS!$B$2:$B$326,0),4)</f>
        <v>70395</v>
      </c>
      <c r="M29" s="38" t="str">
        <f t="shared" si="2"/>
        <v>Max</v>
      </c>
      <c r="N29" s="17" t="str">
        <f t="shared" si="3"/>
        <v/>
      </c>
      <c r="O29" s="17" t="str">
        <f t="shared" si="7"/>
        <v/>
      </c>
      <c r="Q29" s="36">
        <f t="shared" si="4"/>
        <v>0</v>
      </c>
      <c r="U29" s="37">
        <v>70395</v>
      </c>
      <c r="V29" s="36">
        <f t="shared" si="5"/>
        <v>0</v>
      </c>
    </row>
    <row r="30" spans="1:22" x14ac:dyDescent="0.2">
      <c r="A30" s="14">
        <v>2024</v>
      </c>
      <c r="B30" s="14" t="s">
        <v>37</v>
      </c>
      <c r="C30" s="14" t="s">
        <v>64</v>
      </c>
      <c r="D30" s="14" t="s">
        <v>688</v>
      </c>
      <c r="E30" s="14" t="s">
        <v>688</v>
      </c>
      <c r="F30" s="14" t="s">
        <v>64</v>
      </c>
      <c r="G30" s="14" t="s">
        <v>65</v>
      </c>
      <c r="H30" s="15">
        <f>ROUND(SUMPRODUCT(SUMIF(Final!$G$4:$G$330,CashReserveLevy!D30:F30,Final!$C$4:$C$330)),0)</f>
        <v>2302586</v>
      </c>
      <c r="I30" s="15">
        <f t="shared" si="6"/>
        <v>460517</v>
      </c>
      <c r="J30" s="15">
        <f>ROUND(SUMPRODUCT(SUMIF(Final!$G$4:$G$330,CashReserveLevy!D30:F30,Final!$E$4:$E$330)),0)</f>
        <v>1116978</v>
      </c>
      <c r="K30" s="15">
        <f t="shared" si="1"/>
        <v>0</v>
      </c>
      <c r="L30" s="37">
        <f>INDEX(ActualCRLevy_SAS!$A$2:$D$326,MATCH(CashReserveLevy!$C30,ActualCRLevy_SAS!$B$2:$B$326,0),4)</f>
        <v>0</v>
      </c>
      <c r="M30" s="38" t="str">
        <f t="shared" si="2"/>
        <v/>
      </c>
      <c r="N30" s="17" t="str">
        <f t="shared" si="3"/>
        <v/>
      </c>
      <c r="O30" s="17" t="str">
        <f t="shared" si="7"/>
        <v/>
      </c>
      <c r="Q30" s="36">
        <f t="shared" si="4"/>
        <v>0</v>
      </c>
      <c r="U30" s="37">
        <v>0</v>
      </c>
      <c r="V30" s="36">
        <f t="shared" si="5"/>
        <v>0</v>
      </c>
    </row>
    <row r="31" spans="1:22" x14ac:dyDescent="0.2">
      <c r="A31" s="14">
        <v>2024</v>
      </c>
      <c r="B31" s="14" t="s">
        <v>20</v>
      </c>
      <c r="C31" s="14" t="s">
        <v>66</v>
      </c>
      <c r="D31" s="14" t="s">
        <v>688</v>
      </c>
      <c r="E31" s="14" t="s">
        <v>688</v>
      </c>
      <c r="F31" s="14" t="s">
        <v>66</v>
      </c>
      <c r="G31" s="14" t="s">
        <v>67</v>
      </c>
      <c r="H31" s="15">
        <f>ROUND(SUMPRODUCT(SUMIF(Final!$G$4:$G$330,CashReserveLevy!D31:F31,Final!$C$4:$C$330)),0)</f>
        <v>18795433</v>
      </c>
      <c r="I31" s="15">
        <f t="shared" si="6"/>
        <v>3759087</v>
      </c>
      <c r="J31" s="15">
        <f>ROUND(SUMPRODUCT(SUMIF(Final!$G$4:$G$330,CashReserveLevy!D31:F31,Final!$E$4:$E$330)),0)</f>
        <v>5644544</v>
      </c>
      <c r="K31" s="15">
        <f t="shared" si="1"/>
        <v>0</v>
      </c>
      <c r="L31" s="37">
        <f>INDEX(ActualCRLevy_SAS!$A$2:$D$326,MATCH(CashReserveLevy!$C31,ActualCRLevy_SAS!$B$2:$B$326,0),4)</f>
        <v>0</v>
      </c>
      <c r="M31" s="38" t="str">
        <f t="shared" si="2"/>
        <v/>
      </c>
      <c r="N31" s="17" t="str">
        <f t="shared" si="3"/>
        <v/>
      </c>
      <c r="O31" s="17" t="str">
        <f t="shared" si="7"/>
        <v/>
      </c>
      <c r="Q31" s="36">
        <f t="shared" si="4"/>
        <v>0</v>
      </c>
      <c r="U31" s="37">
        <v>0</v>
      </c>
      <c r="V31" s="36">
        <f t="shared" si="5"/>
        <v>0</v>
      </c>
    </row>
    <row r="32" spans="1:22" x14ac:dyDescent="0.2">
      <c r="A32" s="14">
        <v>2024</v>
      </c>
      <c r="B32" s="14" t="s">
        <v>37</v>
      </c>
      <c r="C32" s="14" t="s">
        <v>68</v>
      </c>
      <c r="D32" s="14" t="s">
        <v>688</v>
      </c>
      <c r="E32" s="14" t="s">
        <v>688</v>
      </c>
      <c r="F32" s="14" t="s">
        <v>68</v>
      </c>
      <c r="G32" s="14" t="s">
        <v>69</v>
      </c>
      <c r="H32" s="15">
        <f>ROUND(SUMPRODUCT(SUMIF(Final!$G$4:$G$330,CashReserveLevy!D32:F32,Final!$C$4:$C$330)),0)</f>
        <v>55643396</v>
      </c>
      <c r="I32" s="15">
        <f t="shared" si="6"/>
        <v>11128679</v>
      </c>
      <c r="J32" s="15">
        <f>ROUND(SUMPRODUCT(SUMIF(Final!$G$4:$G$330,CashReserveLevy!D32:F32,Final!$E$4:$E$330)),0)</f>
        <v>10462548</v>
      </c>
      <c r="K32" s="15">
        <f t="shared" si="1"/>
        <v>666131</v>
      </c>
      <c r="L32" s="37">
        <f>INDEX(ActualCRLevy_SAS!$A$2:$D$326,MATCH(CashReserveLevy!$C32,ActualCRLevy_SAS!$B$2:$B$326,0),4)</f>
        <v>507800</v>
      </c>
      <c r="M32" s="38" t="str">
        <f t="shared" si="2"/>
        <v/>
      </c>
      <c r="N32" s="17" t="str">
        <f t="shared" si="3"/>
        <v/>
      </c>
      <c r="O32" s="17" t="str">
        <f t="shared" si="7"/>
        <v/>
      </c>
      <c r="Q32" s="36">
        <f t="shared" si="4"/>
        <v>158331</v>
      </c>
      <c r="U32" s="37">
        <v>666131</v>
      </c>
      <c r="V32" s="36">
        <f t="shared" si="5"/>
        <v>0</v>
      </c>
    </row>
    <row r="33" spans="1:22" x14ac:dyDescent="0.2">
      <c r="A33" s="14">
        <v>2024</v>
      </c>
      <c r="B33" s="14" t="s">
        <v>0</v>
      </c>
      <c r="C33" s="14" t="s">
        <v>70</v>
      </c>
      <c r="D33" s="14" t="s">
        <v>688</v>
      </c>
      <c r="E33" s="14" t="s">
        <v>688</v>
      </c>
      <c r="F33" s="14" t="s">
        <v>70</v>
      </c>
      <c r="G33" s="14" t="s">
        <v>71</v>
      </c>
      <c r="H33" s="15">
        <f>ROUND(SUMPRODUCT(SUMIF(Final!$G$4:$G$330,CashReserveLevy!D33:F33,Final!$C$4:$C$330)),0)</f>
        <v>27377189</v>
      </c>
      <c r="I33" s="15">
        <f t="shared" si="6"/>
        <v>5475438</v>
      </c>
      <c r="J33" s="15">
        <f>ROUND(SUMPRODUCT(SUMIF(Final!$G$4:$G$330,CashReserveLevy!D33:F33,Final!$E$4:$E$330)),0)</f>
        <v>4921077</v>
      </c>
      <c r="K33" s="15">
        <f t="shared" si="1"/>
        <v>554361</v>
      </c>
      <c r="L33" s="37">
        <f>INDEX(ActualCRLevy_SAS!$A$2:$D$326,MATCH(CashReserveLevy!$C33,ActualCRLevy_SAS!$B$2:$B$326,0),4)</f>
        <v>554361</v>
      </c>
      <c r="M33" s="38" t="str">
        <f t="shared" si="2"/>
        <v>Max</v>
      </c>
      <c r="N33" s="17" t="str">
        <f t="shared" si="3"/>
        <v/>
      </c>
      <c r="O33" s="17" t="str">
        <f t="shared" si="7"/>
        <v/>
      </c>
      <c r="Q33" s="36">
        <f t="shared" si="4"/>
        <v>0</v>
      </c>
      <c r="U33" s="37">
        <v>554361</v>
      </c>
      <c r="V33" s="36">
        <f t="shared" si="5"/>
        <v>0</v>
      </c>
    </row>
    <row r="34" spans="1:22" x14ac:dyDescent="0.2">
      <c r="A34" s="14">
        <v>2024</v>
      </c>
      <c r="B34" s="14" t="s">
        <v>0</v>
      </c>
      <c r="C34" s="14" t="s">
        <v>72</v>
      </c>
      <c r="D34" s="14" t="s">
        <v>688</v>
      </c>
      <c r="E34" s="14" t="s">
        <v>688</v>
      </c>
      <c r="F34" s="14" t="s">
        <v>72</v>
      </c>
      <c r="G34" s="14" t="s">
        <v>73</v>
      </c>
      <c r="H34" s="15">
        <f>ROUND(SUMPRODUCT(SUMIF(Final!$G$4:$G$330,CashReserveLevy!D34:F34,Final!$C$4:$C$330)),0)</f>
        <v>27702499</v>
      </c>
      <c r="I34" s="15">
        <f t="shared" si="6"/>
        <v>5540500</v>
      </c>
      <c r="J34" s="15">
        <f>ROUND(SUMPRODUCT(SUMIF(Final!$G$4:$G$330,CashReserveLevy!D34:F34,Final!$E$4:$E$330)),0)</f>
        <v>6541658</v>
      </c>
      <c r="K34" s="15">
        <f t="shared" si="1"/>
        <v>0</v>
      </c>
      <c r="L34" s="37">
        <f>INDEX(ActualCRLevy_SAS!$A$2:$D$326,MATCH(CashReserveLevy!$C34,ActualCRLevy_SAS!$B$2:$B$326,0),4)</f>
        <v>0</v>
      </c>
      <c r="M34" s="38" t="str">
        <f t="shared" si="2"/>
        <v/>
      </c>
      <c r="N34" s="17" t="str">
        <f t="shared" si="3"/>
        <v/>
      </c>
      <c r="O34" s="17" t="str">
        <f t="shared" si="7"/>
        <v/>
      </c>
      <c r="Q34" s="36">
        <f t="shared" si="4"/>
        <v>0</v>
      </c>
      <c r="U34" s="37">
        <v>0</v>
      </c>
      <c r="V34" s="36">
        <f t="shared" si="5"/>
        <v>0</v>
      </c>
    </row>
    <row r="35" spans="1:22" x14ac:dyDescent="0.2">
      <c r="A35" s="14">
        <v>2024</v>
      </c>
      <c r="B35" s="14" t="s">
        <v>11</v>
      </c>
      <c r="C35" s="14" t="s">
        <v>74</v>
      </c>
      <c r="D35" s="14" t="s">
        <v>688</v>
      </c>
      <c r="E35" s="14" t="s">
        <v>688</v>
      </c>
      <c r="F35" s="14" t="s">
        <v>74</v>
      </c>
      <c r="G35" s="14" t="s">
        <v>75</v>
      </c>
      <c r="H35" s="15">
        <f>ROUND(SUMPRODUCT(SUMIF(Final!$G$4:$G$330,CashReserveLevy!D35:F35,Final!$C$4:$C$330)),0)</f>
        <v>8228314</v>
      </c>
      <c r="I35" s="15">
        <f t="shared" si="6"/>
        <v>1645663</v>
      </c>
      <c r="J35" s="15">
        <f>ROUND(SUMPRODUCT(SUMIF(Final!$G$4:$G$330,CashReserveLevy!D35:F35,Final!$E$4:$E$330)),0)</f>
        <v>1355400</v>
      </c>
      <c r="K35" s="15">
        <f t="shared" si="1"/>
        <v>290263</v>
      </c>
      <c r="L35" s="37">
        <f>INDEX(ActualCRLevy_SAS!$A$2:$D$326,MATCH(CashReserveLevy!$C35,ActualCRLevy_SAS!$B$2:$B$326,0),4)</f>
        <v>290263</v>
      </c>
      <c r="M35" s="38" t="str">
        <f t="shared" si="2"/>
        <v>Max</v>
      </c>
      <c r="N35" s="17" t="str">
        <f t="shared" si="3"/>
        <v/>
      </c>
      <c r="O35" s="17" t="str">
        <f t="shared" si="7"/>
        <v/>
      </c>
      <c r="Q35" s="36">
        <f t="shared" si="4"/>
        <v>0</v>
      </c>
      <c r="U35" s="37">
        <v>290263</v>
      </c>
      <c r="V35" s="36">
        <f t="shared" si="5"/>
        <v>0</v>
      </c>
    </row>
    <row r="36" spans="1:22" x14ac:dyDescent="0.2">
      <c r="A36" s="14">
        <v>2024</v>
      </c>
      <c r="B36" s="14" t="s">
        <v>8</v>
      </c>
      <c r="C36" s="14" t="s">
        <v>76</v>
      </c>
      <c r="D36" s="14" t="s">
        <v>688</v>
      </c>
      <c r="E36" s="14" t="s">
        <v>688</v>
      </c>
      <c r="F36" s="14" t="s">
        <v>76</v>
      </c>
      <c r="G36" s="14" t="s">
        <v>77</v>
      </c>
      <c r="H36" s="15">
        <f>ROUND(SUMPRODUCT(SUMIF(Final!$G$4:$G$330,CashReserveLevy!D36:F36,Final!$C$4:$C$330)),0)</f>
        <v>5483487</v>
      </c>
      <c r="I36" s="15">
        <f t="shared" si="6"/>
        <v>1096697</v>
      </c>
      <c r="J36" s="15">
        <f>ROUND(SUMPRODUCT(SUMIF(Final!$G$4:$G$330,CashReserveLevy!D36:F36,Final!$E$4:$E$330)),0)</f>
        <v>2132171</v>
      </c>
      <c r="K36" s="15">
        <f t="shared" si="1"/>
        <v>0</v>
      </c>
      <c r="L36" s="37">
        <f>INDEX(ActualCRLevy_SAS!$A$2:$D$326,MATCH(CashReserveLevy!$C36,ActualCRLevy_SAS!$B$2:$B$326,0),4)</f>
        <v>0</v>
      </c>
      <c r="M36" s="38" t="str">
        <f t="shared" si="2"/>
        <v/>
      </c>
      <c r="N36" s="17" t="str">
        <f t="shared" si="3"/>
        <v/>
      </c>
      <c r="O36" s="17" t="str">
        <f t="shared" si="7"/>
        <v/>
      </c>
      <c r="Q36" s="36">
        <f t="shared" si="4"/>
        <v>0</v>
      </c>
      <c r="U36" s="37">
        <v>0</v>
      </c>
      <c r="V36" s="36">
        <f t="shared" si="5"/>
        <v>0</v>
      </c>
    </row>
    <row r="37" spans="1:22" x14ac:dyDescent="0.2">
      <c r="A37" s="14">
        <v>2024</v>
      </c>
      <c r="B37" s="14" t="s">
        <v>5</v>
      </c>
      <c r="C37" s="14" t="s">
        <v>78</v>
      </c>
      <c r="D37" s="14" t="s">
        <v>688</v>
      </c>
      <c r="E37" s="14" t="s">
        <v>688</v>
      </c>
      <c r="F37" s="14" t="s">
        <v>78</v>
      </c>
      <c r="G37" s="14" t="s">
        <v>79</v>
      </c>
      <c r="H37" s="15">
        <f>ROUND(SUMPRODUCT(SUMIF(Final!$G$4:$G$330,CashReserveLevy!D37:F37,Final!$C$4:$C$330)),0)</f>
        <v>7126916</v>
      </c>
      <c r="I37" s="15">
        <f t="shared" si="6"/>
        <v>1425383</v>
      </c>
      <c r="J37" s="15">
        <f>ROUND(SUMPRODUCT(SUMIF(Final!$G$4:$G$330,CashReserveLevy!D37:F37,Final!$E$4:$E$330)),0)</f>
        <v>2407113</v>
      </c>
      <c r="K37" s="15">
        <f t="shared" si="1"/>
        <v>0</v>
      </c>
      <c r="L37" s="37">
        <f>INDEX(ActualCRLevy_SAS!$A$2:$D$326,MATCH(CashReserveLevy!$C37,ActualCRLevy_SAS!$B$2:$B$326,0),4)</f>
        <v>0</v>
      </c>
      <c r="M37" s="38" t="str">
        <f t="shared" si="2"/>
        <v/>
      </c>
      <c r="N37" s="17" t="str">
        <f t="shared" si="3"/>
        <v/>
      </c>
      <c r="O37" s="17" t="str">
        <f t="shared" si="7"/>
        <v/>
      </c>
      <c r="Q37" s="36">
        <f t="shared" si="4"/>
        <v>0</v>
      </c>
      <c r="U37" s="37">
        <v>0</v>
      </c>
      <c r="V37" s="36">
        <f t="shared" si="5"/>
        <v>0</v>
      </c>
    </row>
    <row r="38" spans="1:22" x14ac:dyDescent="0.2">
      <c r="A38" s="14">
        <v>2024</v>
      </c>
      <c r="B38" s="14" t="s">
        <v>17</v>
      </c>
      <c r="C38" s="14" t="s">
        <v>80</v>
      </c>
      <c r="D38" s="14" t="s">
        <v>688</v>
      </c>
      <c r="E38" s="14" t="s">
        <v>688</v>
      </c>
      <c r="F38" s="14" t="s">
        <v>80</v>
      </c>
      <c r="G38" s="14" t="s">
        <v>81</v>
      </c>
      <c r="H38" s="15">
        <f>ROUND(SUMPRODUCT(SUMIF(Final!$G$4:$G$330,CashReserveLevy!D38:F38,Final!$C$4:$C$330)),0)</f>
        <v>53733040</v>
      </c>
      <c r="I38" s="15">
        <f t="shared" si="6"/>
        <v>10746608</v>
      </c>
      <c r="J38" s="15">
        <f>ROUND(SUMPRODUCT(SUMIF(Final!$G$4:$G$330,CashReserveLevy!D38:F38,Final!$E$4:$E$330)),0)</f>
        <v>13837757</v>
      </c>
      <c r="K38" s="15">
        <f t="shared" si="1"/>
        <v>0</v>
      </c>
      <c r="L38" s="37">
        <f>INDEX(ActualCRLevy_SAS!$A$2:$D$326,MATCH(CashReserveLevy!$C38,ActualCRLevy_SAS!$B$2:$B$326,0),4)</f>
        <v>0</v>
      </c>
      <c r="M38" s="38" t="str">
        <f t="shared" si="2"/>
        <v/>
      </c>
      <c r="N38" s="17" t="str">
        <f t="shared" si="3"/>
        <v/>
      </c>
      <c r="O38" s="17" t="str">
        <f t="shared" si="7"/>
        <v/>
      </c>
      <c r="Q38" s="36">
        <f t="shared" si="4"/>
        <v>0</v>
      </c>
      <c r="U38" s="37">
        <v>0</v>
      </c>
      <c r="V38" s="36">
        <f t="shared" si="5"/>
        <v>0</v>
      </c>
    </row>
    <row r="39" spans="1:22" x14ac:dyDescent="0.2">
      <c r="A39" s="14">
        <v>2024</v>
      </c>
      <c r="B39" s="14" t="s">
        <v>5</v>
      </c>
      <c r="C39" s="14" t="s">
        <v>82</v>
      </c>
      <c r="D39" s="14" t="s">
        <v>688</v>
      </c>
      <c r="E39" s="14" t="s">
        <v>688</v>
      </c>
      <c r="F39" s="14" t="s">
        <v>82</v>
      </c>
      <c r="G39" s="14" t="s">
        <v>83</v>
      </c>
      <c r="H39" s="15">
        <f>ROUND(SUMPRODUCT(SUMIF(Final!$G$4:$G$330,CashReserveLevy!D39:F39,Final!$C$4:$C$330)),0)</f>
        <v>3739873</v>
      </c>
      <c r="I39" s="15">
        <f t="shared" si="6"/>
        <v>747975</v>
      </c>
      <c r="J39" s="15">
        <f>ROUND(SUMPRODUCT(SUMIF(Final!$G$4:$G$330,CashReserveLevy!D39:F39,Final!$E$4:$E$330)),0)</f>
        <v>908896</v>
      </c>
      <c r="K39" s="15">
        <f t="shared" si="1"/>
        <v>0</v>
      </c>
      <c r="L39" s="37">
        <f>INDEX(ActualCRLevy_SAS!$A$2:$D$326,MATCH(CashReserveLevy!$C39,ActualCRLevy_SAS!$B$2:$B$326,0),4)</f>
        <v>0</v>
      </c>
      <c r="M39" s="38" t="str">
        <f t="shared" si="2"/>
        <v/>
      </c>
      <c r="N39" s="17" t="str">
        <f t="shared" si="3"/>
        <v/>
      </c>
      <c r="O39" s="17" t="str">
        <f t="shared" si="7"/>
        <v/>
      </c>
      <c r="Q39" s="36">
        <f t="shared" si="4"/>
        <v>0</v>
      </c>
      <c r="U39" s="37">
        <v>0</v>
      </c>
      <c r="V39" s="36">
        <f t="shared" si="5"/>
        <v>0</v>
      </c>
    </row>
    <row r="40" spans="1:22" x14ac:dyDescent="0.2">
      <c r="A40" s="14">
        <v>2024</v>
      </c>
      <c r="B40" s="14" t="s">
        <v>37</v>
      </c>
      <c r="C40" s="14" t="s">
        <v>84</v>
      </c>
      <c r="D40" s="14" t="s">
        <v>688</v>
      </c>
      <c r="E40" s="14" t="s">
        <v>688</v>
      </c>
      <c r="F40" s="14" t="s">
        <v>84</v>
      </c>
      <c r="G40" s="14" t="s">
        <v>85</v>
      </c>
      <c r="H40" s="15">
        <f>ROUND(SUMPRODUCT(SUMIF(Final!$G$4:$G$330,CashReserveLevy!D40:F40,Final!$C$4:$C$330)),0)</f>
        <v>5843653</v>
      </c>
      <c r="I40" s="15">
        <f t="shared" si="6"/>
        <v>1168731</v>
      </c>
      <c r="J40" s="15">
        <f>ROUND(SUMPRODUCT(SUMIF(Final!$G$4:$G$330,CashReserveLevy!D40:F40,Final!$E$4:$E$330)),0)</f>
        <v>1008663</v>
      </c>
      <c r="K40" s="15">
        <f t="shared" si="1"/>
        <v>160068</v>
      </c>
      <c r="L40" s="37">
        <f>INDEX(ActualCRLevy_SAS!$A$2:$D$326,MATCH(CashReserveLevy!$C40,ActualCRLevy_SAS!$B$2:$B$326,0),4)</f>
        <v>160068</v>
      </c>
      <c r="M40" s="38" t="str">
        <f t="shared" si="2"/>
        <v>Max</v>
      </c>
      <c r="N40" s="17" t="str">
        <f t="shared" si="3"/>
        <v/>
      </c>
      <c r="O40" s="17" t="str">
        <f t="shared" si="7"/>
        <v/>
      </c>
      <c r="Q40" s="36">
        <f t="shared" si="4"/>
        <v>0</v>
      </c>
      <c r="U40" s="37">
        <v>160068</v>
      </c>
      <c r="V40" s="36">
        <f t="shared" si="5"/>
        <v>0</v>
      </c>
    </row>
    <row r="41" spans="1:22" x14ac:dyDescent="0.2">
      <c r="A41" s="14">
        <v>2024</v>
      </c>
      <c r="B41" s="14" t="s">
        <v>8</v>
      </c>
      <c r="C41" s="14" t="s">
        <v>86</v>
      </c>
      <c r="D41" s="14" t="s">
        <v>688</v>
      </c>
      <c r="E41" s="14" t="s">
        <v>688</v>
      </c>
      <c r="F41" s="14" t="s">
        <v>86</v>
      </c>
      <c r="G41" s="14" t="s">
        <v>87</v>
      </c>
      <c r="H41" s="15">
        <f>ROUND(SUMPRODUCT(SUMIF(Final!$G$4:$G$330,CashReserveLevy!D41:F41,Final!$C$4:$C$330)),0)</f>
        <v>11784856</v>
      </c>
      <c r="I41" s="15">
        <f t="shared" si="6"/>
        <v>2356971</v>
      </c>
      <c r="J41" s="15">
        <f>ROUND(SUMPRODUCT(SUMIF(Final!$G$4:$G$330,CashReserveLevy!D41:F41,Final!$E$4:$E$330)),0)</f>
        <v>2394027</v>
      </c>
      <c r="K41" s="15">
        <f t="shared" si="1"/>
        <v>0</v>
      </c>
      <c r="L41" s="37">
        <f>INDEX(ActualCRLevy_SAS!$A$2:$D$326,MATCH(CashReserveLevy!$C41,ActualCRLevy_SAS!$B$2:$B$326,0),4)</f>
        <v>0</v>
      </c>
      <c r="M41" s="38" t="str">
        <f t="shared" si="2"/>
        <v/>
      </c>
      <c r="N41" s="17" t="str">
        <f t="shared" si="3"/>
        <v/>
      </c>
      <c r="O41" s="17" t="str">
        <f t="shared" si="7"/>
        <v/>
      </c>
      <c r="Q41" s="36">
        <f t="shared" si="4"/>
        <v>0</v>
      </c>
      <c r="U41" s="37">
        <v>0</v>
      </c>
      <c r="V41" s="36">
        <f t="shared" si="5"/>
        <v>0</v>
      </c>
    </row>
    <row r="42" spans="1:22" x14ac:dyDescent="0.2">
      <c r="A42" s="14">
        <v>2024</v>
      </c>
      <c r="B42" s="14" t="s">
        <v>37</v>
      </c>
      <c r="C42" s="14" t="s">
        <v>88</v>
      </c>
      <c r="D42" s="14" t="s">
        <v>688</v>
      </c>
      <c r="E42" s="14" t="s">
        <v>688</v>
      </c>
      <c r="F42" s="14" t="s">
        <v>88</v>
      </c>
      <c r="G42" s="14" t="s">
        <v>89</v>
      </c>
      <c r="H42" s="15">
        <f>ROUND(SUMPRODUCT(SUMIF(Final!$G$4:$G$330,CashReserveLevy!D42:F42,Final!$C$4:$C$330)),0)</f>
        <v>12855556</v>
      </c>
      <c r="I42" s="15">
        <f t="shared" si="6"/>
        <v>2571111</v>
      </c>
      <c r="J42" s="15">
        <f>ROUND(SUMPRODUCT(SUMIF(Final!$G$4:$G$330,CashReserveLevy!D42:F42,Final!$E$4:$E$330)),0)</f>
        <v>17190</v>
      </c>
      <c r="K42" s="15">
        <f t="shared" si="1"/>
        <v>2553921</v>
      </c>
      <c r="L42" s="37">
        <f>INDEX(ActualCRLevy_SAS!$A$2:$D$326,MATCH(CashReserveLevy!$C42,ActualCRLevy_SAS!$B$2:$B$326,0),4)</f>
        <v>1283337</v>
      </c>
      <c r="M42" s="38" t="str">
        <f t="shared" si="2"/>
        <v/>
      </c>
      <c r="N42" s="17" t="str">
        <f t="shared" si="3"/>
        <v/>
      </c>
      <c r="O42" s="17" t="str">
        <f t="shared" si="7"/>
        <v/>
      </c>
      <c r="Q42" s="36">
        <f t="shared" si="4"/>
        <v>1270584</v>
      </c>
      <c r="U42" s="37">
        <v>2553921</v>
      </c>
      <c r="V42" s="36">
        <f t="shared" si="5"/>
        <v>0</v>
      </c>
    </row>
    <row r="43" spans="1:22" x14ac:dyDescent="0.2">
      <c r="A43" s="14">
        <v>2024</v>
      </c>
      <c r="B43" s="14" t="s">
        <v>17</v>
      </c>
      <c r="C43" s="14" t="s">
        <v>90</v>
      </c>
      <c r="D43" s="14" t="s">
        <v>688</v>
      </c>
      <c r="E43" s="14" t="s">
        <v>688</v>
      </c>
      <c r="F43" s="14" t="s">
        <v>90</v>
      </c>
      <c r="G43" s="14" t="s">
        <v>91</v>
      </c>
      <c r="H43" s="15">
        <f>ROUND(SUMPRODUCT(SUMIF(Final!$G$4:$G$330,CashReserveLevy!D43:F43,Final!$C$4:$C$330)),0)</f>
        <v>12144003</v>
      </c>
      <c r="I43" s="15">
        <f t="shared" si="6"/>
        <v>2428801</v>
      </c>
      <c r="J43" s="15">
        <f>ROUND(SUMPRODUCT(SUMIF(Final!$G$4:$G$330,CashReserveLevy!D43:F43,Final!$E$4:$E$330)),0)</f>
        <v>2741610</v>
      </c>
      <c r="K43" s="15">
        <f t="shared" si="1"/>
        <v>0</v>
      </c>
      <c r="L43" s="37">
        <f>INDEX(ActualCRLevy_SAS!$A$2:$D$326,MATCH(CashReserveLevy!$C43,ActualCRLevy_SAS!$B$2:$B$326,0),4)</f>
        <v>0</v>
      </c>
      <c r="M43" s="38" t="str">
        <f t="shared" si="2"/>
        <v/>
      </c>
      <c r="N43" s="17" t="str">
        <f t="shared" si="3"/>
        <v/>
      </c>
      <c r="O43" s="17" t="str">
        <f t="shared" si="7"/>
        <v/>
      </c>
      <c r="Q43" s="36">
        <f t="shared" si="4"/>
        <v>0</v>
      </c>
      <c r="U43" s="37">
        <v>0</v>
      </c>
      <c r="V43" s="36">
        <f t="shared" si="5"/>
        <v>0</v>
      </c>
    </row>
    <row r="44" spans="1:22" x14ac:dyDescent="0.2">
      <c r="A44" s="14">
        <v>2024</v>
      </c>
      <c r="B44" s="14" t="s">
        <v>0</v>
      </c>
      <c r="C44" s="14" t="s">
        <v>92</v>
      </c>
      <c r="D44" s="14" t="s">
        <v>688</v>
      </c>
      <c r="E44" s="14" t="s">
        <v>688</v>
      </c>
      <c r="F44" s="14" t="s">
        <v>92</v>
      </c>
      <c r="G44" s="14" t="s">
        <v>93</v>
      </c>
      <c r="H44" s="15">
        <f>ROUND(SUMPRODUCT(SUMIF(Final!$G$4:$G$330,CashReserveLevy!D44:F44,Final!$C$4:$C$330)),0)</f>
        <v>24561562</v>
      </c>
      <c r="I44" s="15">
        <f t="shared" si="6"/>
        <v>4912312</v>
      </c>
      <c r="J44" s="15">
        <f>ROUND(SUMPRODUCT(SUMIF(Final!$G$4:$G$330,CashReserveLevy!D44:F44,Final!$E$4:$E$330)),0)</f>
        <v>7843595</v>
      </c>
      <c r="K44" s="15">
        <f t="shared" si="1"/>
        <v>0</v>
      </c>
      <c r="L44" s="37">
        <f>INDEX(ActualCRLevy_SAS!$A$2:$D$326,MATCH(CashReserveLevy!$C44,ActualCRLevy_SAS!$B$2:$B$326,0),4)</f>
        <v>0</v>
      </c>
      <c r="M44" s="38" t="str">
        <f t="shared" si="2"/>
        <v/>
      </c>
      <c r="N44" s="17" t="str">
        <f t="shared" si="3"/>
        <v/>
      </c>
      <c r="O44" s="17" t="str">
        <f t="shared" si="7"/>
        <v/>
      </c>
      <c r="Q44" s="36">
        <f t="shared" si="4"/>
        <v>0</v>
      </c>
      <c r="U44" s="37">
        <v>0</v>
      </c>
      <c r="V44" s="36">
        <f t="shared" si="5"/>
        <v>0</v>
      </c>
    </row>
    <row r="45" spans="1:22" x14ac:dyDescent="0.2">
      <c r="A45" s="14">
        <v>2024</v>
      </c>
      <c r="B45" s="14" t="s">
        <v>0</v>
      </c>
      <c r="C45" s="14" t="s">
        <v>94</v>
      </c>
      <c r="D45" s="14" t="s">
        <v>688</v>
      </c>
      <c r="E45" s="14" t="s">
        <v>688</v>
      </c>
      <c r="F45" s="14" t="s">
        <v>94</v>
      </c>
      <c r="G45" s="14" t="s">
        <v>95</v>
      </c>
      <c r="H45" s="15">
        <f>ROUND(SUMPRODUCT(SUMIF(Final!$G$4:$G$330,CashReserveLevy!D45:F45,Final!$C$4:$C$330)),0)</f>
        <v>22918593</v>
      </c>
      <c r="I45" s="15">
        <f t="shared" si="6"/>
        <v>4583719</v>
      </c>
      <c r="J45" s="15">
        <f>ROUND(SUMPRODUCT(SUMIF(Final!$G$4:$G$330,CashReserveLevy!D45:F45,Final!$E$4:$E$330)),0)</f>
        <v>7250065</v>
      </c>
      <c r="K45" s="15">
        <f t="shared" si="1"/>
        <v>0</v>
      </c>
      <c r="L45" s="37">
        <f>INDEX(ActualCRLevy_SAS!$A$2:$D$326,MATCH(CashReserveLevy!$C45,ActualCRLevy_SAS!$B$2:$B$326,0),4)</f>
        <v>0</v>
      </c>
      <c r="M45" s="38" t="str">
        <f t="shared" si="2"/>
        <v/>
      </c>
      <c r="N45" s="17" t="str">
        <f t="shared" si="3"/>
        <v/>
      </c>
      <c r="O45" s="17" t="str">
        <f t="shared" si="7"/>
        <v/>
      </c>
      <c r="Q45" s="36">
        <f t="shared" si="4"/>
        <v>0</v>
      </c>
      <c r="U45" s="37">
        <v>0</v>
      </c>
      <c r="V45" s="36">
        <f t="shared" si="5"/>
        <v>0</v>
      </c>
    </row>
    <row r="46" spans="1:22" x14ac:dyDescent="0.2">
      <c r="A46" s="14">
        <v>2024</v>
      </c>
      <c r="B46" s="14" t="s">
        <v>5</v>
      </c>
      <c r="C46" s="14" t="s">
        <v>96</v>
      </c>
      <c r="D46" s="14" t="s">
        <v>688</v>
      </c>
      <c r="E46" s="14" t="s">
        <v>688</v>
      </c>
      <c r="F46" s="14" t="s">
        <v>96</v>
      </c>
      <c r="G46" s="14" t="s">
        <v>97</v>
      </c>
      <c r="H46" s="15">
        <f>ROUND(SUMPRODUCT(SUMIF(Final!$G$4:$G$330,CashReserveLevy!D46:F46,Final!$C$4:$C$330)),0)</f>
        <v>68003381</v>
      </c>
      <c r="I46" s="15">
        <f t="shared" si="6"/>
        <v>13600676</v>
      </c>
      <c r="J46" s="15">
        <f>ROUND(SUMPRODUCT(SUMIF(Final!$G$4:$G$330,CashReserveLevy!D46:F46,Final!$E$4:$E$330)),0)</f>
        <v>7349907</v>
      </c>
      <c r="K46" s="15">
        <f t="shared" si="1"/>
        <v>6250769</v>
      </c>
      <c r="L46" s="37">
        <f>INDEX(ActualCRLevy_SAS!$A$2:$D$326,MATCH(CashReserveLevy!$C46,ActualCRLevy_SAS!$B$2:$B$326,0),4)</f>
        <v>1300765</v>
      </c>
      <c r="M46" s="38" t="str">
        <f t="shared" si="2"/>
        <v/>
      </c>
      <c r="N46" s="17" t="str">
        <f t="shared" si="3"/>
        <v/>
      </c>
      <c r="O46" s="17" t="str">
        <f t="shared" si="7"/>
        <v/>
      </c>
      <c r="Q46" s="36">
        <f t="shared" si="4"/>
        <v>4950004</v>
      </c>
      <c r="U46" s="37">
        <v>6250769</v>
      </c>
      <c r="V46" s="36">
        <f t="shared" si="5"/>
        <v>0</v>
      </c>
    </row>
    <row r="47" spans="1:22" x14ac:dyDescent="0.2">
      <c r="A47" s="14">
        <v>2024</v>
      </c>
      <c r="B47" s="14" t="s">
        <v>20</v>
      </c>
      <c r="C47" s="14" t="s">
        <v>98</v>
      </c>
      <c r="D47" s="14" t="s">
        <v>688</v>
      </c>
      <c r="E47" s="14" t="s">
        <v>688</v>
      </c>
      <c r="F47" s="14" t="s">
        <v>98</v>
      </c>
      <c r="G47" s="14" t="s">
        <v>99</v>
      </c>
      <c r="H47" s="15">
        <f>ROUND(SUMPRODUCT(SUMIF(Final!$G$4:$G$330,CashReserveLevy!D47:F47,Final!$C$4:$C$330)),0)</f>
        <v>229040649</v>
      </c>
      <c r="I47" s="15">
        <f t="shared" si="6"/>
        <v>45808130</v>
      </c>
      <c r="J47" s="15">
        <f>ROUND(SUMPRODUCT(SUMIF(Final!$G$4:$G$330,CashReserveLevy!D47:F47,Final!$E$4:$E$330)),0)</f>
        <v>35754139</v>
      </c>
      <c r="K47" s="15">
        <f t="shared" si="1"/>
        <v>10053991</v>
      </c>
      <c r="L47" s="37">
        <f>INDEX(ActualCRLevy_SAS!$A$2:$D$326,MATCH(CashReserveLevy!$C47,ActualCRLevy_SAS!$B$2:$B$326,0),4)</f>
        <v>10053991</v>
      </c>
      <c r="M47" s="38" t="str">
        <f t="shared" si="2"/>
        <v>Max</v>
      </c>
      <c r="N47" s="17" t="str">
        <f t="shared" si="3"/>
        <v/>
      </c>
      <c r="O47" s="17" t="str">
        <f t="shared" si="7"/>
        <v/>
      </c>
      <c r="Q47" s="36">
        <f t="shared" si="4"/>
        <v>0</v>
      </c>
      <c r="U47" s="37">
        <v>10053991</v>
      </c>
      <c r="V47" s="36">
        <f t="shared" si="5"/>
        <v>0</v>
      </c>
    </row>
    <row r="48" spans="1:22" x14ac:dyDescent="0.2">
      <c r="A48" s="14">
        <v>2024</v>
      </c>
      <c r="B48" s="14" t="s">
        <v>20</v>
      </c>
      <c r="C48" s="14" t="s">
        <v>100</v>
      </c>
      <c r="D48" s="14" t="s">
        <v>688</v>
      </c>
      <c r="E48" s="14" t="s">
        <v>688</v>
      </c>
      <c r="F48" s="14" t="s">
        <v>100</v>
      </c>
      <c r="G48" s="14" t="s">
        <v>101</v>
      </c>
      <c r="H48" s="15">
        <f>ROUND(SUMPRODUCT(SUMIF(Final!$G$4:$G$330,CashReserveLevy!D48:F48,Final!$C$4:$C$330)),0)</f>
        <v>16727106</v>
      </c>
      <c r="I48" s="15">
        <f t="shared" si="6"/>
        <v>3345421</v>
      </c>
      <c r="J48" s="15">
        <f>ROUND(SUMPRODUCT(SUMIF(Final!$G$4:$G$330,CashReserveLevy!D48:F48,Final!$E$4:$E$330)),0)</f>
        <v>5460230</v>
      </c>
      <c r="K48" s="15">
        <f t="shared" si="1"/>
        <v>0</v>
      </c>
      <c r="L48" s="37">
        <f>INDEX(ActualCRLevy_SAS!$A$2:$D$326,MATCH(CashReserveLevy!$C48,ActualCRLevy_SAS!$B$2:$B$326,0),4)</f>
        <v>0</v>
      </c>
      <c r="M48" s="38" t="str">
        <f t="shared" si="2"/>
        <v/>
      </c>
      <c r="N48" s="17" t="str">
        <f t="shared" si="3"/>
        <v/>
      </c>
      <c r="O48" s="17" t="str">
        <f t="shared" si="7"/>
        <v/>
      </c>
      <c r="Q48" s="36">
        <f t="shared" si="4"/>
        <v>0</v>
      </c>
      <c r="U48" s="37">
        <v>0</v>
      </c>
      <c r="V48" s="36">
        <f t="shared" si="5"/>
        <v>0</v>
      </c>
    </row>
    <row r="49" spans="1:22" x14ac:dyDescent="0.2">
      <c r="A49" s="14">
        <v>2024</v>
      </c>
      <c r="B49" s="14" t="s">
        <v>17</v>
      </c>
      <c r="C49" s="14" t="s">
        <v>102</v>
      </c>
      <c r="D49" s="14" t="s">
        <v>688</v>
      </c>
      <c r="E49" s="14" t="s">
        <v>688</v>
      </c>
      <c r="F49" s="14" t="s">
        <v>102</v>
      </c>
      <c r="G49" s="14" t="s">
        <v>103</v>
      </c>
      <c r="H49" s="15">
        <f>ROUND(SUMPRODUCT(SUMIF(Final!$G$4:$G$330,CashReserveLevy!D49:F49,Final!$C$4:$C$330)),0)</f>
        <v>18697885</v>
      </c>
      <c r="I49" s="15">
        <f t="shared" si="6"/>
        <v>3739577</v>
      </c>
      <c r="J49" s="15">
        <f>ROUND(SUMPRODUCT(SUMIF(Final!$G$4:$G$330,CashReserveLevy!D49:F49,Final!$E$4:$E$330)),0)</f>
        <v>4099351</v>
      </c>
      <c r="K49" s="15">
        <f t="shared" si="1"/>
        <v>0</v>
      </c>
      <c r="L49" s="37">
        <f>INDEX(ActualCRLevy_SAS!$A$2:$D$326,MATCH(CashReserveLevy!$C49,ActualCRLevy_SAS!$B$2:$B$326,0),4)</f>
        <v>0</v>
      </c>
      <c r="M49" s="38" t="str">
        <f t="shared" si="2"/>
        <v/>
      </c>
      <c r="N49" s="17" t="str">
        <f t="shared" si="3"/>
        <v/>
      </c>
      <c r="O49" s="17" t="str">
        <f t="shared" si="7"/>
        <v/>
      </c>
      <c r="Q49" s="36">
        <f t="shared" si="4"/>
        <v>0</v>
      </c>
      <c r="U49" s="37">
        <v>0</v>
      </c>
      <c r="V49" s="36">
        <f t="shared" si="5"/>
        <v>0</v>
      </c>
    </row>
    <row r="50" spans="1:22" x14ac:dyDescent="0.2">
      <c r="A50" s="14">
        <v>2024</v>
      </c>
      <c r="B50" s="14" t="s">
        <v>20</v>
      </c>
      <c r="C50" s="14" t="s">
        <v>104</v>
      </c>
      <c r="D50" s="14" t="s">
        <v>688</v>
      </c>
      <c r="E50" s="14" t="s">
        <v>688</v>
      </c>
      <c r="F50" s="14" t="s">
        <v>104</v>
      </c>
      <c r="G50" s="14" t="s">
        <v>105</v>
      </c>
      <c r="H50" s="15">
        <f>ROUND(SUMPRODUCT(SUMIF(Final!$G$4:$G$330,CashReserveLevy!D50:F50,Final!$C$4:$C$330)),0)</f>
        <v>6149550</v>
      </c>
      <c r="I50" s="15">
        <f t="shared" si="6"/>
        <v>1229910</v>
      </c>
      <c r="J50" s="15">
        <f>ROUND(SUMPRODUCT(SUMIF(Final!$G$4:$G$330,CashReserveLevy!D50:F50,Final!$E$4:$E$330)),0)</f>
        <v>1701207</v>
      </c>
      <c r="K50" s="15">
        <f t="shared" si="1"/>
        <v>0</v>
      </c>
      <c r="L50" s="37">
        <f>INDEX(ActualCRLevy_SAS!$A$2:$D$326,MATCH(CashReserveLevy!$C50,ActualCRLevy_SAS!$B$2:$B$326,0),4)</f>
        <v>0</v>
      </c>
      <c r="M50" s="38" t="str">
        <f t="shared" si="2"/>
        <v/>
      </c>
      <c r="N50" s="17" t="str">
        <f t="shared" si="3"/>
        <v/>
      </c>
      <c r="O50" s="17" t="str">
        <f t="shared" si="7"/>
        <v/>
      </c>
      <c r="Q50" s="36">
        <f t="shared" si="4"/>
        <v>0</v>
      </c>
      <c r="U50" s="37">
        <v>0</v>
      </c>
      <c r="V50" s="36">
        <f t="shared" si="5"/>
        <v>0</v>
      </c>
    </row>
    <row r="51" spans="1:22" x14ac:dyDescent="0.2">
      <c r="A51" s="14">
        <v>2024</v>
      </c>
      <c r="B51" s="14" t="s">
        <v>28</v>
      </c>
      <c r="C51" s="14" t="s">
        <v>106</v>
      </c>
      <c r="D51" s="14" t="s">
        <v>688</v>
      </c>
      <c r="E51" s="14" t="s">
        <v>688</v>
      </c>
      <c r="F51" s="14" t="s">
        <v>106</v>
      </c>
      <c r="G51" s="14" t="s">
        <v>107</v>
      </c>
      <c r="H51" s="15">
        <f>ROUND(SUMPRODUCT(SUMIF(Final!$G$4:$G$330,CashReserveLevy!D51:F51,Final!$C$4:$C$330)),0)</f>
        <v>6390328</v>
      </c>
      <c r="I51" s="15">
        <f t="shared" si="6"/>
        <v>1278066</v>
      </c>
      <c r="J51" s="15">
        <f>ROUND(SUMPRODUCT(SUMIF(Final!$G$4:$G$330,CashReserveLevy!D51:F51,Final!$E$4:$E$330)),0)</f>
        <v>1019545</v>
      </c>
      <c r="K51" s="15">
        <f t="shared" si="1"/>
        <v>258521</v>
      </c>
      <c r="L51" s="37">
        <f>INDEX(ActualCRLevy_SAS!$A$2:$D$326,MATCH(CashReserveLevy!$C51,ActualCRLevy_SAS!$B$2:$B$326,0),4)</f>
        <v>258521</v>
      </c>
      <c r="M51" s="38" t="str">
        <f t="shared" si="2"/>
        <v>Max</v>
      </c>
      <c r="N51" s="17" t="str">
        <f t="shared" si="3"/>
        <v/>
      </c>
      <c r="O51" s="17" t="str">
        <f t="shared" si="7"/>
        <v/>
      </c>
      <c r="Q51" s="36">
        <f t="shared" si="4"/>
        <v>0</v>
      </c>
      <c r="U51" s="37">
        <v>258521</v>
      </c>
      <c r="V51" s="36">
        <f t="shared" si="5"/>
        <v>0</v>
      </c>
    </row>
    <row r="52" spans="1:22" x14ac:dyDescent="0.2">
      <c r="A52" s="14">
        <v>2024</v>
      </c>
      <c r="B52" s="14" t="s">
        <v>37</v>
      </c>
      <c r="C52" s="14" t="s">
        <v>108</v>
      </c>
      <c r="D52" s="14" t="s">
        <v>688</v>
      </c>
      <c r="E52" s="14" t="s">
        <v>688</v>
      </c>
      <c r="F52" s="14" t="s">
        <v>108</v>
      </c>
      <c r="G52" s="14" t="s">
        <v>109</v>
      </c>
      <c r="H52" s="15">
        <f>ROUND(SUMPRODUCT(SUMIF(Final!$G$4:$G$330,CashReserveLevy!D52:F52,Final!$C$4:$C$330)),0)</f>
        <v>19860908</v>
      </c>
      <c r="I52" s="15">
        <f t="shared" si="6"/>
        <v>3972182</v>
      </c>
      <c r="J52" s="15">
        <f>ROUND(SUMPRODUCT(SUMIF(Final!$G$4:$G$330,CashReserveLevy!D52:F52,Final!$E$4:$E$330)),0)</f>
        <v>2687840</v>
      </c>
      <c r="K52" s="15">
        <f t="shared" si="1"/>
        <v>1284342</v>
      </c>
      <c r="L52" s="37">
        <f>INDEX(ActualCRLevy_SAS!$A$2:$D$326,MATCH(CashReserveLevy!$C52,ActualCRLevy_SAS!$B$2:$B$326,0),4)</f>
        <v>1284342</v>
      </c>
      <c r="M52" s="38" t="str">
        <f t="shared" si="2"/>
        <v>Max</v>
      </c>
      <c r="N52" s="17" t="str">
        <f t="shared" si="3"/>
        <v/>
      </c>
      <c r="O52" s="17" t="str">
        <f t="shared" si="7"/>
        <v/>
      </c>
      <c r="Q52" s="36">
        <f t="shared" si="4"/>
        <v>0</v>
      </c>
      <c r="U52" s="37">
        <v>1284342</v>
      </c>
      <c r="V52" s="36">
        <f t="shared" si="5"/>
        <v>0</v>
      </c>
    </row>
    <row r="53" spans="1:22" x14ac:dyDescent="0.2">
      <c r="A53" s="14">
        <v>2024</v>
      </c>
      <c r="B53" s="14" t="s">
        <v>8</v>
      </c>
      <c r="C53" s="14" t="s">
        <v>110</v>
      </c>
      <c r="D53" s="14" t="s">
        <v>688</v>
      </c>
      <c r="E53" s="14" t="s">
        <v>688</v>
      </c>
      <c r="F53" s="14" t="s">
        <v>110</v>
      </c>
      <c r="G53" s="14" t="s">
        <v>111</v>
      </c>
      <c r="H53" s="15">
        <f>ROUND(SUMPRODUCT(SUMIF(Final!$G$4:$G$330,CashReserveLevy!D53:F53,Final!$C$4:$C$330)),0)</f>
        <v>9295353</v>
      </c>
      <c r="I53" s="15">
        <f t="shared" si="6"/>
        <v>1859071</v>
      </c>
      <c r="J53" s="15">
        <f>ROUND(SUMPRODUCT(SUMIF(Final!$G$4:$G$330,CashReserveLevy!D53:F53,Final!$E$4:$E$330)),0)</f>
        <v>2493222</v>
      </c>
      <c r="K53" s="15">
        <f t="shared" si="1"/>
        <v>0</v>
      </c>
      <c r="L53" s="37">
        <f>INDEX(ActualCRLevy_SAS!$A$2:$D$326,MATCH(CashReserveLevy!$C53,ActualCRLevy_SAS!$B$2:$B$326,0),4)</f>
        <v>0</v>
      </c>
      <c r="M53" s="38" t="str">
        <f t="shared" si="2"/>
        <v/>
      </c>
      <c r="N53" s="17" t="str">
        <f t="shared" si="3"/>
        <v/>
      </c>
      <c r="O53" s="17" t="str">
        <f t="shared" si="7"/>
        <v/>
      </c>
      <c r="Q53" s="36">
        <f t="shared" si="4"/>
        <v>0</v>
      </c>
      <c r="U53" s="37">
        <v>0</v>
      </c>
      <c r="V53" s="36">
        <f t="shared" si="5"/>
        <v>0</v>
      </c>
    </row>
    <row r="54" spans="1:22" x14ac:dyDescent="0.2">
      <c r="A54" s="14">
        <v>2024</v>
      </c>
      <c r="B54" s="14" t="s">
        <v>17</v>
      </c>
      <c r="C54" s="14" t="s">
        <v>112</v>
      </c>
      <c r="D54" s="14" t="s">
        <v>688</v>
      </c>
      <c r="E54" s="14" t="s">
        <v>688</v>
      </c>
      <c r="F54" s="14" t="s">
        <v>112</v>
      </c>
      <c r="G54" s="14" t="s">
        <v>113</v>
      </c>
      <c r="H54" s="15">
        <f>ROUND(SUMPRODUCT(SUMIF(Final!$G$4:$G$330,CashReserveLevy!D54:F54,Final!$C$4:$C$330)),0)</f>
        <v>12632856</v>
      </c>
      <c r="I54" s="15">
        <f t="shared" si="6"/>
        <v>2526571</v>
      </c>
      <c r="J54" s="15">
        <f>ROUND(SUMPRODUCT(SUMIF(Final!$G$4:$G$330,CashReserveLevy!D54:F54,Final!$E$4:$E$330)),0)</f>
        <v>2962604</v>
      </c>
      <c r="K54" s="15">
        <f t="shared" si="1"/>
        <v>0</v>
      </c>
      <c r="L54" s="37">
        <f>INDEX(ActualCRLevy_SAS!$A$2:$D$326,MATCH(CashReserveLevy!$C54,ActualCRLevy_SAS!$B$2:$B$326,0),4)</f>
        <v>0</v>
      </c>
      <c r="M54" s="38" t="str">
        <f t="shared" si="2"/>
        <v/>
      </c>
      <c r="N54" s="17" t="str">
        <f t="shared" si="3"/>
        <v/>
      </c>
      <c r="O54" s="17" t="str">
        <f t="shared" si="7"/>
        <v/>
      </c>
      <c r="Q54" s="36">
        <f t="shared" si="4"/>
        <v>0</v>
      </c>
      <c r="U54" s="37">
        <v>0</v>
      </c>
      <c r="V54" s="36">
        <f t="shared" si="5"/>
        <v>0</v>
      </c>
    </row>
    <row r="55" spans="1:22" x14ac:dyDescent="0.2">
      <c r="A55" s="14">
        <v>2024</v>
      </c>
      <c r="B55" s="14" t="s">
        <v>11</v>
      </c>
      <c r="C55" s="14" t="s">
        <v>114</v>
      </c>
      <c r="D55" s="14" t="s">
        <v>688</v>
      </c>
      <c r="E55" s="14" t="s">
        <v>688</v>
      </c>
      <c r="F55" s="14" t="s">
        <v>114</v>
      </c>
      <c r="G55" s="14" t="s">
        <v>115</v>
      </c>
      <c r="H55" s="15">
        <f>ROUND(SUMPRODUCT(SUMIF(Final!$G$4:$G$330,CashReserveLevy!D55:F55,Final!$C$4:$C$330)),0)</f>
        <v>9746300</v>
      </c>
      <c r="I55" s="15">
        <f t="shared" si="6"/>
        <v>1949260</v>
      </c>
      <c r="J55" s="15">
        <f>ROUND(SUMPRODUCT(SUMIF(Final!$G$4:$G$330,CashReserveLevy!D55:F55,Final!$E$4:$E$330)),0)</f>
        <v>2615824</v>
      </c>
      <c r="K55" s="15">
        <f t="shared" si="1"/>
        <v>0</v>
      </c>
      <c r="L55" s="37">
        <f>INDEX(ActualCRLevy_SAS!$A$2:$D$326,MATCH(CashReserveLevy!$C55,ActualCRLevy_SAS!$B$2:$B$326,0),4)</f>
        <v>0</v>
      </c>
      <c r="M55" s="38" t="str">
        <f t="shared" si="2"/>
        <v/>
      </c>
      <c r="N55" s="17" t="str">
        <f t="shared" si="3"/>
        <v/>
      </c>
      <c r="O55" s="17" t="str">
        <f t="shared" si="7"/>
        <v/>
      </c>
      <c r="Q55" s="36">
        <f t="shared" si="4"/>
        <v>0</v>
      </c>
      <c r="U55" s="37">
        <v>0</v>
      </c>
      <c r="V55" s="36">
        <f t="shared" si="5"/>
        <v>0</v>
      </c>
    </row>
    <row r="56" spans="1:22" x14ac:dyDescent="0.2">
      <c r="A56" s="14">
        <v>2024</v>
      </c>
      <c r="B56" s="14" t="s">
        <v>5</v>
      </c>
      <c r="C56" s="14" t="s">
        <v>116</v>
      </c>
      <c r="D56" s="14" t="s">
        <v>688</v>
      </c>
      <c r="E56" s="14" t="s">
        <v>688</v>
      </c>
      <c r="F56" s="14" t="s">
        <v>116</v>
      </c>
      <c r="G56" s="14" t="s">
        <v>117</v>
      </c>
      <c r="H56" s="15">
        <f>ROUND(SUMPRODUCT(SUMIF(Final!$G$4:$G$330,CashReserveLevy!D56:F56,Final!$C$4:$C$330)),0)</f>
        <v>10671377</v>
      </c>
      <c r="I56" s="15">
        <f t="shared" si="6"/>
        <v>2134275</v>
      </c>
      <c r="J56" s="15">
        <f>ROUND(SUMPRODUCT(SUMIF(Final!$G$4:$G$330,CashReserveLevy!D56:F56,Final!$E$4:$E$330)),0)</f>
        <v>2841285</v>
      </c>
      <c r="K56" s="15">
        <f t="shared" si="1"/>
        <v>0</v>
      </c>
      <c r="L56" s="37">
        <f>INDEX(ActualCRLevy_SAS!$A$2:$D$326,MATCH(CashReserveLevy!$C56,ActualCRLevy_SAS!$B$2:$B$326,0),4)</f>
        <v>0</v>
      </c>
      <c r="M56" s="38" t="str">
        <f t="shared" si="2"/>
        <v/>
      </c>
      <c r="N56" s="17" t="str">
        <f t="shared" si="3"/>
        <v/>
      </c>
      <c r="O56" s="17" t="str">
        <f t="shared" si="7"/>
        <v/>
      </c>
      <c r="Q56" s="36">
        <f t="shared" si="4"/>
        <v>0</v>
      </c>
      <c r="U56" s="37">
        <v>0</v>
      </c>
      <c r="V56" s="36">
        <f t="shared" si="5"/>
        <v>0</v>
      </c>
    </row>
    <row r="57" spans="1:22" x14ac:dyDescent="0.2">
      <c r="A57" s="14">
        <v>2024</v>
      </c>
      <c r="B57" s="14" t="s">
        <v>17</v>
      </c>
      <c r="C57" s="14" t="s">
        <v>118</v>
      </c>
      <c r="D57" s="14" t="s">
        <v>688</v>
      </c>
      <c r="E57" s="14" t="s">
        <v>688</v>
      </c>
      <c r="F57" s="14" t="s">
        <v>118</v>
      </c>
      <c r="G57" s="14" t="s">
        <v>119</v>
      </c>
      <c r="H57" s="15">
        <f>ROUND(SUMPRODUCT(SUMIF(Final!$G$4:$G$330,CashReserveLevy!D57:F57,Final!$C$4:$C$330)),0)</f>
        <v>16001379</v>
      </c>
      <c r="I57" s="15">
        <f t="shared" si="6"/>
        <v>3200276</v>
      </c>
      <c r="J57" s="15">
        <f>ROUND(SUMPRODUCT(SUMIF(Final!$G$4:$G$330,CashReserveLevy!D57:F57,Final!$E$4:$E$330)),0)</f>
        <v>2177406</v>
      </c>
      <c r="K57" s="15">
        <f t="shared" si="1"/>
        <v>1022870</v>
      </c>
      <c r="L57" s="37">
        <f>INDEX(ActualCRLevy_SAS!$A$2:$D$326,MATCH(CashReserveLevy!$C57,ActualCRLevy_SAS!$B$2:$B$326,0),4)</f>
        <v>916810</v>
      </c>
      <c r="M57" s="38" t="str">
        <f t="shared" si="2"/>
        <v/>
      </c>
      <c r="N57" s="17" t="str">
        <f t="shared" si="3"/>
        <v/>
      </c>
      <c r="O57" s="17" t="str">
        <f t="shared" si="7"/>
        <v/>
      </c>
      <c r="Q57" s="36">
        <f t="shared" si="4"/>
        <v>106060</v>
      </c>
      <c r="U57" s="37">
        <v>1022870</v>
      </c>
      <c r="V57" s="36">
        <f t="shared" si="5"/>
        <v>0</v>
      </c>
    </row>
    <row r="58" spans="1:22" x14ac:dyDescent="0.2">
      <c r="A58" s="14">
        <v>2024</v>
      </c>
      <c r="B58" s="14" t="s">
        <v>5</v>
      </c>
      <c r="C58" s="14" t="s">
        <v>120</v>
      </c>
      <c r="D58" s="14" t="s">
        <v>688</v>
      </c>
      <c r="E58" s="14" t="s">
        <v>688</v>
      </c>
      <c r="F58" s="14" t="s">
        <v>120</v>
      </c>
      <c r="G58" s="14" t="s">
        <v>121</v>
      </c>
      <c r="H58" s="15">
        <f>ROUND(SUMPRODUCT(SUMIF(Final!$G$4:$G$330,CashReserveLevy!D58:F58,Final!$C$4:$C$330)),0)</f>
        <v>22558104</v>
      </c>
      <c r="I58" s="15">
        <f t="shared" si="6"/>
        <v>4511621</v>
      </c>
      <c r="J58" s="15">
        <f>ROUND(SUMPRODUCT(SUMIF(Final!$G$4:$G$330,CashReserveLevy!D58:F58,Final!$E$4:$E$330)),0)</f>
        <v>2641303</v>
      </c>
      <c r="K58" s="15">
        <f t="shared" si="1"/>
        <v>1870318</v>
      </c>
      <c r="L58" s="37">
        <f>INDEX(ActualCRLevy_SAS!$A$2:$D$326,MATCH(CashReserveLevy!$C58,ActualCRLevy_SAS!$B$2:$B$326,0),4)</f>
        <v>550000</v>
      </c>
      <c r="M58" s="38" t="str">
        <f t="shared" si="2"/>
        <v/>
      </c>
      <c r="N58" s="17" t="str">
        <f t="shared" si="3"/>
        <v/>
      </c>
      <c r="O58" s="17" t="str">
        <f t="shared" si="7"/>
        <v/>
      </c>
      <c r="Q58" s="36">
        <f t="shared" si="4"/>
        <v>1320318</v>
      </c>
      <c r="U58" s="37">
        <v>1870318</v>
      </c>
      <c r="V58" s="36">
        <f t="shared" si="5"/>
        <v>0</v>
      </c>
    </row>
    <row r="59" spans="1:22" x14ac:dyDescent="0.2">
      <c r="A59" s="14">
        <v>2024</v>
      </c>
      <c r="B59" s="14" t="s">
        <v>11</v>
      </c>
      <c r="C59" s="14" t="s">
        <v>122</v>
      </c>
      <c r="D59" s="14" t="s">
        <v>688</v>
      </c>
      <c r="E59" s="14" t="s">
        <v>688</v>
      </c>
      <c r="F59" s="14" t="s">
        <v>122</v>
      </c>
      <c r="G59" s="14" t="s">
        <v>123</v>
      </c>
      <c r="H59" s="15">
        <f>ROUND(SUMPRODUCT(SUMIF(Final!$G$4:$G$330,CashReserveLevy!D59:F59,Final!$C$4:$C$330)),0)</f>
        <v>3652433</v>
      </c>
      <c r="I59" s="15">
        <f t="shared" si="6"/>
        <v>730487</v>
      </c>
      <c r="J59" s="15">
        <f>ROUND(SUMPRODUCT(SUMIF(Final!$G$4:$G$330,CashReserveLevy!D59:F59,Final!$E$4:$E$330)),0)</f>
        <v>1445814</v>
      </c>
      <c r="K59" s="15">
        <f t="shared" si="1"/>
        <v>0</v>
      </c>
      <c r="L59" s="37">
        <f>INDEX(ActualCRLevy_SAS!$A$2:$D$326,MATCH(CashReserveLevy!$C59,ActualCRLevy_SAS!$B$2:$B$326,0),4)</f>
        <v>0</v>
      </c>
      <c r="M59" s="38" t="str">
        <f t="shared" si="2"/>
        <v/>
      </c>
      <c r="N59" s="17" t="str">
        <f t="shared" si="3"/>
        <v/>
      </c>
      <c r="O59" s="17" t="str">
        <f t="shared" si="7"/>
        <v/>
      </c>
      <c r="Q59" s="36">
        <f t="shared" si="4"/>
        <v>0</v>
      </c>
      <c r="U59" s="37">
        <v>0</v>
      </c>
      <c r="V59" s="36">
        <f t="shared" si="5"/>
        <v>0</v>
      </c>
    </row>
    <row r="60" spans="1:22" x14ac:dyDescent="0.2">
      <c r="A60" s="14">
        <v>2024</v>
      </c>
      <c r="B60" s="14" t="s">
        <v>11</v>
      </c>
      <c r="C60" s="14" t="s">
        <v>124</v>
      </c>
      <c r="D60" s="14" t="s">
        <v>688</v>
      </c>
      <c r="E60" s="14" t="s">
        <v>688</v>
      </c>
      <c r="F60" s="14" t="s">
        <v>124</v>
      </c>
      <c r="G60" s="14" t="s">
        <v>125</v>
      </c>
      <c r="H60" s="15">
        <f>ROUND(SUMPRODUCT(SUMIF(Final!$G$4:$G$330,CashReserveLevy!D60:F60,Final!$C$4:$C$330)),0)</f>
        <v>13377441</v>
      </c>
      <c r="I60" s="15">
        <f t="shared" si="6"/>
        <v>2675488</v>
      </c>
      <c r="J60" s="15">
        <f>ROUND(SUMPRODUCT(SUMIF(Final!$G$4:$G$330,CashReserveLevy!D60:F60,Final!$E$4:$E$330)),0)</f>
        <v>2879443</v>
      </c>
      <c r="K60" s="15">
        <f t="shared" si="1"/>
        <v>0</v>
      </c>
      <c r="L60" s="37">
        <f>INDEX(ActualCRLevy_SAS!$A$2:$D$326,MATCH(CashReserveLevy!$C60,ActualCRLevy_SAS!$B$2:$B$326,0),4)</f>
        <v>0</v>
      </c>
      <c r="M60" s="38" t="str">
        <f t="shared" si="2"/>
        <v/>
      </c>
      <c r="N60" s="17" t="str">
        <f t="shared" si="3"/>
        <v/>
      </c>
      <c r="O60" s="17" t="str">
        <f t="shared" si="7"/>
        <v/>
      </c>
      <c r="Q60" s="36">
        <f t="shared" si="4"/>
        <v>0</v>
      </c>
      <c r="U60" s="37">
        <v>0</v>
      </c>
      <c r="V60" s="36">
        <f t="shared" si="5"/>
        <v>0</v>
      </c>
    </row>
    <row r="61" spans="1:22" x14ac:dyDescent="0.2">
      <c r="A61" s="14">
        <v>2024</v>
      </c>
      <c r="B61" s="14" t="s">
        <v>8</v>
      </c>
      <c r="C61" s="14" t="s">
        <v>126</v>
      </c>
      <c r="D61" s="14" t="s">
        <v>688</v>
      </c>
      <c r="E61" s="14" t="s">
        <v>688</v>
      </c>
      <c r="F61" s="14" t="s">
        <v>126</v>
      </c>
      <c r="G61" s="14" t="s">
        <v>127</v>
      </c>
      <c r="H61" s="15">
        <f>ROUND(SUMPRODUCT(SUMIF(Final!$G$4:$G$330,CashReserveLevy!D61:F61,Final!$C$4:$C$330)),0)</f>
        <v>12694281</v>
      </c>
      <c r="I61" s="15">
        <f t="shared" si="6"/>
        <v>2538856</v>
      </c>
      <c r="J61" s="15">
        <f>ROUND(SUMPRODUCT(SUMIF(Final!$G$4:$G$330,CashReserveLevy!D61:F61,Final!$E$4:$E$330)),0)</f>
        <v>2733409</v>
      </c>
      <c r="K61" s="15">
        <f t="shared" si="1"/>
        <v>0</v>
      </c>
      <c r="L61" s="37">
        <f>INDEX(ActualCRLevy_SAS!$A$2:$D$326,MATCH(CashReserveLevy!$C61,ActualCRLevy_SAS!$B$2:$B$326,0),4)</f>
        <v>0</v>
      </c>
      <c r="M61" s="38" t="str">
        <f t="shared" si="2"/>
        <v/>
      </c>
      <c r="N61" s="17" t="str">
        <f t="shared" si="3"/>
        <v/>
      </c>
      <c r="O61" s="17" t="str">
        <f t="shared" si="7"/>
        <v/>
      </c>
      <c r="Q61" s="36">
        <f t="shared" si="4"/>
        <v>0</v>
      </c>
      <c r="U61" s="37">
        <v>0</v>
      </c>
      <c r="V61" s="36">
        <f t="shared" si="5"/>
        <v>0</v>
      </c>
    </row>
    <row r="62" spans="1:22" x14ac:dyDescent="0.2">
      <c r="A62" s="14">
        <v>2024</v>
      </c>
      <c r="B62" s="14" t="s">
        <v>14</v>
      </c>
      <c r="C62" s="14" t="s">
        <v>128</v>
      </c>
      <c r="D62" s="14" t="s">
        <v>130</v>
      </c>
      <c r="E62" s="14" t="s">
        <v>688</v>
      </c>
      <c r="F62" s="14" t="s">
        <v>128</v>
      </c>
      <c r="G62" s="14" t="s">
        <v>129</v>
      </c>
      <c r="H62" s="15">
        <f>ROUND(SUMPRODUCT(SUMIF(Final!$G$4:$G$330,CashReserveLevy!D62:F62,Final!$C$4:$C$330)),0)</f>
        <v>14308808</v>
      </c>
      <c r="I62" s="15">
        <f t="shared" si="6"/>
        <v>2861762</v>
      </c>
      <c r="J62" s="15">
        <f>ROUND(SUMPRODUCT(SUMIF(Final!$G$4:$G$330,CashReserveLevy!D62:F62,Final!$E$4:$E$330)),0)</f>
        <v>893256</v>
      </c>
      <c r="K62" s="15">
        <f t="shared" si="1"/>
        <v>1968506</v>
      </c>
      <c r="L62" s="37">
        <f>INDEX(ActualCRLevy_SAS!$A$2:$D$326,MATCH(CashReserveLevy!$C62,ActualCRLevy_SAS!$B$2:$B$326,0),4)</f>
        <v>1300000</v>
      </c>
      <c r="M62" s="38" t="str">
        <f t="shared" si="2"/>
        <v/>
      </c>
      <c r="N62" s="17" t="str">
        <f t="shared" si="3"/>
        <v/>
      </c>
      <c r="O62" s="17" t="str">
        <f t="shared" si="7"/>
        <v/>
      </c>
      <c r="Q62" s="36">
        <f t="shared" si="4"/>
        <v>668506</v>
      </c>
      <c r="U62" s="37">
        <v>1968506</v>
      </c>
      <c r="V62" s="36">
        <f t="shared" si="5"/>
        <v>0</v>
      </c>
    </row>
    <row r="63" spans="1:22" x14ac:dyDescent="0.2">
      <c r="A63" s="14">
        <v>2024</v>
      </c>
      <c r="B63" s="14" t="s">
        <v>8</v>
      </c>
      <c r="C63" s="14" t="s">
        <v>131</v>
      </c>
      <c r="D63" s="14" t="s">
        <v>688</v>
      </c>
      <c r="E63" s="14" t="s">
        <v>688</v>
      </c>
      <c r="F63" s="14" t="s">
        <v>131</v>
      </c>
      <c r="G63" s="14" t="s">
        <v>132</v>
      </c>
      <c r="H63" s="15">
        <f>ROUND(SUMPRODUCT(SUMIF(Final!$G$4:$G$330,CashReserveLevy!D63:F63,Final!$C$4:$C$330)),0)</f>
        <v>18287515</v>
      </c>
      <c r="I63" s="15">
        <f t="shared" si="6"/>
        <v>3657503</v>
      </c>
      <c r="J63" s="15">
        <f>ROUND(SUMPRODUCT(SUMIF(Final!$G$4:$G$330,CashReserveLevy!D63:F63,Final!$E$4:$E$330)),0)</f>
        <v>504151</v>
      </c>
      <c r="K63" s="15">
        <f t="shared" si="1"/>
        <v>3153352</v>
      </c>
      <c r="L63" s="37">
        <f>INDEX(ActualCRLevy_SAS!$A$2:$D$326,MATCH(CashReserveLevy!$C63,ActualCRLevy_SAS!$B$2:$B$326,0),4)</f>
        <v>1211348</v>
      </c>
      <c r="M63" s="38" t="str">
        <f t="shared" si="2"/>
        <v/>
      </c>
      <c r="N63" s="17" t="str">
        <f t="shared" si="3"/>
        <v/>
      </c>
      <c r="O63" s="17" t="str">
        <f t="shared" si="7"/>
        <v/>
      </c>
      <c r="Q63" s="36">
        <f t="shared" si="4"/>
        <v>1942004</v>
      </c>
      <c r="U63" s="37">
        <v>3153352</v>
      </c>
      <c r="V63" s="36">
        <f t="shared" si="5"/>
        <v>0</v>
      </c>
    </row>
    <row r="64" spans="1:22" x14ac:dyDescent="0.2">
      <c r="A64" s="14">
        <v>2024</v>
      </c>
      <c r="B64" s="14" t="s">
        <v>5</v>
      </c>
      <c r="C64" s="14" t="s">
        <v>133</v>
      </c>
      <c r="D64" s="14" t="s">
        <v>688</v>
      </c>
      <c r="E64" s="14" t="s">
        <v>688</v>
      </c>
      <c r="F64" s="14" t="s">
        <v>133</v>
      </c>
      <c r="G64" s="14" t="s">
        <v>134</v>
      </c>
      <c r="H64" s="15">
        <f>ROUND(SUMPRODUCT(SUMIF(Final!$G$4:$G$330,CashReserveLevy!D64:F64,Final!$C$4:$C$330)),0)</f>
        <v>4228077</v>
      </c>
      <c r="I64" s="15">
        <f t="shared" si="6"/>
        <v>845615</v>
      </c>
      <c r="J64" s="15">
        <f>ROUND(SUMPRODUCT(SUMIF(Final!$G$4:$G$330,CashReserveLevy!D64:F64,Final!$E$4:$E$330)),0)</f>
        <v>960661</v>
      </c>
      <c r="K64" s="15">
        <f t="shared" si="1"/>
        <v>0</v>
      </c>
      <c r="L64" s="37">
        <f>INDEX(ActualCRLevy_SAS!$A$2:$D$326,MATCH(CashReserveLevy!$C64,ActualCRLevy_SAS!$B$2:$B$326,0),4)</f>
        <v>0</v>
      </c>
      <c r="M64" s="38" t="str">
        <f t="shared" si="2"/>
        <v/>
      </c>
      <c r="N64" s="17" t="str">
        <f t="shared" si="3"/>
        <v/>
      </c>
      <c r="O64" s="17" t="str">
        <f t="shared" si="7"/>
        <v/>
      </c>
      <c r="Q64" s="36">
        <f t="shared" si="4"/>
        <v>0</v>
      </c>
      <c r="U64" s="37">
        <v>0</v>
      </c>
      <c r="V64" s="36">
        <f t="shared" si="5"/>
        <v>0</v>
      </c>
    </row>
    <row r="65" spans="1:22" x14ac:dyDescent="0.2">
      <c r="A65" s="14">
        <v>2024</v>
      </c>
      <c r="B65" s="14" t="s">
        <v>14</v>
      </c>
      <c r="C65" s="14" t="s">
        <v>135</v>
      </c>
      <c r="D65" s="14" t="s">
        <v>688</v>
      </c>
      <c r="E65" s="14" t="s">
        <v>688</v>
      </c>
      <c r="F65" s="14" t="s">
        <v>135</v>
      </c>
      <c r="G65" s="14" t="s">
        <v>136</v>
      </c>
      <c r="H65" s="15">
        <f>ROUND(SUMPRODUCT(SUMIF(Final!$G$4:$G$330,CashReserveLevy!D65:F65,Final!$C$4:$C$330)),0)</f>
        <v>3992568</v>
      </c>
      <c r="I65" s="15">
        <f t="shared" si="6"/>
        <v>798514</v>
      </c>
      <c r="J65" s="15">
        <f>ROUND(SUMPRODUCT(SUMIF(Final!$G$4:$G$330,CashReserveLevy!D65:F65,Final!$E$4:$E$330)),0)</f>
        <v>1379301</v>
      </c>
      <c r="K65" s="15">
        <f t="shared" si="1"/>
        <v>0</v>
      </c>
      <c r="L65" s="37">
        <f>INDEX(ActualCRLevy_SAS!$A$2:$D$326,MATCH(CashReserveLevy!$C65,ActualCRLevy_SAS!$B$2:$B$326,0),4)</f>
        <v>0</v>
      </c>
      <c r="M65" s="38" t="str">
        <f t="shared" si="2"/>
        <v/>
      </c>
      <c r="N65" s="17" t="str">
        <f t="shared" si="3"/>
        <v/>
      </c>
      <c r="O65" s="17" t="str">
        <f t="shared" si="7"/>
        <v/>
      </c>
      <c r="Q65" s="36">
        <f t="shared" si="4"/>
        <v>0</v>
      </c>
      <c r="U65" s="37">
        <v>0</v>
      </c>
      <c r="V65" s="36">
        <f t="shared" si="5"/>
        <v>0</v>
      </c>
    </row>
    <row r="66" spans="1:22" x14ac:dyDescent="0.2">
      <c r="A66" s="14">
        <v>2024</v>
      </c>
      <c r="B66" s="14" t="s">
        <v>28</v>
      </c>
      <c r="C66" s="14" t="s">
        <v>137</v>
      </c>
      <c r="D66" s="14" t="s">
        <v>688</v>
      </c>
      <c r="E66" s="14" t="s">
        <v>688</v>
      </c>
      <c r="F66" s="14" t="s">
        <v>137</v>
      </c>
      <c r="G66" s="14" t="s">
        <v>138</v>
      </c>
      <c r="H66" s="15">
        <f>ROUND(SUMPRODUCT(SUMIF(Final!$G$4:$G$330,CashReserveLevy!D66:F66,Final!$C$4:$C$330)),0)</f>
        <v>13064172</v>
      </c>
      <c r="I66" s="15">
        <f t="shared" si="6"/>
        <v>2612834</v>
      </c>
      <c r="J66" s="15">
        <f>ROUND(SUMPRODUCT(SUMIF(Final!$G$4:$G$330,CashReserveLevy!D66:F66,Final!$E$4:$E$330)),0)</f>
        <v>944483</v>
      </c>
      <c r="K66" s="15">
        <f t="shared" si="1"/>
        <v>1668351</v>
      </c>
      <c r="L66" s="37">
        <f>INDEX(ActualCRLevy_SAS!$A$2:$D$326,MATCH(CashReserveLevy!$C66,ActualCRLevy_SAS!$B$2:$B$326,0),4)</f>
        <v>100000</v>
      </c>
      <c r="M66" s="38" t="str">
        <f t="shared" si="2"/>
        <v/>
      </c>
      <c r="N66" s="17" t="str">
        <f t="shared" si="3"/>
        <v/>
      </c>
      <c r="O66" s="17" t="str">
        <f t="shared" si="7"/>
        <v/>
      </c>
      <c r="Q66" s="36">
        <f t="shared" si="4"/>
        <v>1568351</v>
      </c>
      <c r="U66" s="37">
        <v>1668351</v>
      </c>
      <c r="V66" s="36">
        <f t="shared" si="5"/>
        <v>0</v>
      </c>
    </row>
    <row r="67" spans="1:22" x14ac:dyDescent="0.2">
      <c r="A67" s="14">
        <v>2024</v>
      </c>
      <c r="B67" s="14" t="s">
        <v>20</v>
      </c>
      <c r="C67" s="14" t="s">
        <v>139</v>
      </c>
      <c r="D67" s="14" t="s">
        <v>141</v>
      </c>
      <c r="E67" s="14" t="s">
        <v>688</v>
      </c>
      <c r="F67" s="14" t="s">
        <v>139</v>
      </c>
      <c r="G67" s="14" t="s">
        <v>140</v>
      </c>
      <c r="H67" s="15">
        <f>ROUND(SUMPRODUCT(SUMIF(Final!$G$4:$G$330,CashReserveLevy!D67:F67,Final!$C$4:$C$330)),0)</f>
        <v>37470438</v>
      </c>
      <c r="I67" s="15">
        <f t="shared" si="6"/>
        <v>7494088</v>
      </c>
      <c r="J67" s="15">
        <f>ROUND(SUMPRODUCT(SUMIF(Final!$G$4:$G$330,CashReserveLevy!D67:F67,Final!$E$4:$E$330)),0)</f>
        <v>-909136</v>
      </c>
      <c r="K67" s="15">
        <f t="shared" si="1"/>
        <v>8403224</v>
      </c>
      <c r="L67" s="37">
        <f>INDEX(ActualCRLevy_SAS!$A$2:$D$326,MATCH(CashReserveLevy!$C67,ActualCRLevy_SAS!$B$2:$B$326,0),4)</f>
        <v>4007958</v>
      </c>
      <c r="M67" s="38" t="str">
        <f t="shared" si="2"/>
        <v/>
      </c>
      <c r="N67" s="17" t="str">
        <f t="shared" si="3"/>
        <v/>
      </c>
      <c r="O67" s="17" t="str">
        <f t="shared" si="7"/>
        <v/>
      </c>
      <c r="Q67" s="36">
        <f t="shared" si="4"/>
        <v>4395266</v>
      </c>
      <c r="U67" s="37">
        <v>8403224</v>
      </c>
      <c r="V67" s="36">
        <f t="shared" si="5"/>
        <v>0</v>
      </c>
    </row>
    <row r="68" spans="1:22" x14ac:dyDescent="0.2">
      <c r="A68" s="14">
        <v>2024</v>
      </c>
      <c r="B68" s="14" t="s">
        <v>5</v>
      </c>
      <c r="C68" s="14" t="s">
        <v>142</v>
      </c>
      <c r="D68" s="14" t="s">
        <v>688</v>
      </c>
      <c r="E68" s="14" t="s">
        <v>688</v>
      </c>
      <c r="F68" s="14" t="s">
        <v>142</v>
      </c>
      <c r="G68" s="14" t="s">
        <v>143</v>
      </c>
      <c r="H68" s="15">
        <f>ROUND(SUMPRODUCT(SUMIF(Final!$G$4:$G$330,CashReserveLevy!D68:F68,Final!$C$4:$C$330)),0)</f>
        <v>17352833</v>
      </c>
      <c r="I68" s="15">
        <f t="shared" ref="I68:I131" si="8">ROUND(H68*0.2,0)</f>
        <v>3470567</v>
      </c>
      <c r="J68" s="15">
        <f>ROUND(SUMPRODUCT(SUMIF(Final!$G$4:$G$330,CashReserveLevy!D68:F68,Final!$E$4:$E$330)),0)</f>
        <v>4677478</v>
      </c>
      <c r="K68" s="15">
        <f t="shared" ref="K68:K131" si="9">IF(I68&gt;J68,I68-J68,0)</f>
        <v>0</v>
      </c>
      <c r="L68" s="37">
        <f>INDEX(ActualCRLevy_SAS!$A$2:$D$326,MATCH(CashReserveLevy!$C68,ActualCRLevy_SAS!$B$2:$B$326,0),4)</f>
        <v>0</v>
      </c>
      <c r="M68" s="38" t="str">
        <f t="shared" ref="M68:M131" si="10">IF(AND(L68=K68,K68&gt;0),"Max","")</f>
        <v/>
      </c>
      <c r="N68" s="17" t="str">
        <f t="shared" ref="N68:N131" si="11">IF(AND(L68&lt;K68,L68=0),"No Levy but have Capacity","")</f>
        <v/>
      </c>
      <c r="O68" s="17" t="str">
        <f t="shared" si="7"/>
        <v/>
      </c>
      <c r="Q68" s="36">
        <f t="shared" ref="Q68:Q131" si="12">K68-L68</f>
        <v>0</v>
      </c>
      <c r="U68" s="37">
        <v>0</v>
      </c>
      <c r="V68" s="36">
        <f t="shared" ref="V68:V131" si="13">K68-U68</f>
        <v>0</v>
      </c>
    </row>
    <row r="69" spans="1:22" x14ac:dyDescent="0.2">
      <c r="A69" s="14">
        <v>2024</v>
      </c>
      <c r="B69" s="14" t="s">
        <v>37</v>
      </c>
      <c r="C69" s="14" t="s">
        <v>144</v>
      </c>
      <c r="D69" s="14" t="s">
        <v>688</v>
      </c>
      <c r="E69" s="14" t="s">
        <v>688</v>
      </c>
      <c r="F69" s="14" t="s">
        <v>144</v>
      </c>
      <c r="G69" s="14" t="s">
        <v>145</v>
      </c>
      <c r="H69" s="15">
        <f>ROUND(SUMPRODUCT(SUMIF(Final!$G$4:$G$330,CashReserveLevy!D69:F69,Final!$C$4:$C$330)),0)</f>
        <v>49310052</v>
      </c>
      <c r="I69" s="15">
        <f t="shared" si="8"/>
        <v>9862010</v>
      </c>
      <c r="J69" s="15">
        <f>ROUND(SUMPRODUCT(SUMIF(Final!$G$4:$G$330,CashReserveLevy!D69:F69,Final!$E$4:$E$330)),0)</f>
        <v>12196354</v>
      </c>
      <c r="K69" s="15">
        <f t="shared" si="9"/>
        <v>0</v>
      </c>
      <c r="L69" s="37">
        <f>INDEX(ActualCRLevy_SAS!$A$2:$D$326,MATCH(CashReserveLevy!$C69,ActualCRLevy_SAS!$B$2:$B$326,0),4)</f>
        <v>0</v>
      </c>
      <c r="M69" s="38" t="str">
        <f t="shared" si="10"/>
        <v/>
      </c>
      <c r="N69" s="17" t="str">
        <f t="shared" si="11"/>
        <v/>
      </c>
      <c r="O69" s="17" t="str">
        <f t="shared" si="7"/>
        <v/>
      </c>
      <c r="Q69" s="36">
        <f t="shared" si="12"/>
        <v>0</v>
      </c>
      <c r="U69" s="37">
        <v>0</v>
      </c>
      <c r="V69" s="36">
        <f t="shared" si="13"/>
        <v>0</v>
      </c>
    </row>
    <row r="70" spans="1:22" x14ac:dyDescent="0.2">
      <c r="A70" s="14">
        <v>2024</v>
      </c>
      <c r="B70" s="14" t="s">
        <v>0</v>
      </c>
      <c r="C70" s="14" t="s">
        <v>146</v>
      </c>
      <c r="D70" s="14" t="s">
        <v>688</v>
      </c>
      <c r="E70" s="14" t="s">
        <v>688</v>
      </c>
      <c r="F70" s="14" t="s">
        <v>146</v>
      </c>
      <c r="G70" s="14" t="s">
        <v>147</v>
      </c>
      <c r="H70" s="15">
        <f>ROUND(SUMPRODUCT(SUMIF(Final!$G$4:$G$330,CashReserveLevy!D70:F70,Final!$C$4:$C$330)),0)</f>
        <v>10365807</v>
      </c>
      <c r="I70" s="15">
        <f t="shared" si="8"/>
        <v>2073161</v>
      </c>
      <c r="J70" s="15">
        <f>ROUND(SUMPRODUCT(SUMIF(Final!$G$4:$G$330,CashReserveLevy!D70:F70,Final!$E$4:$E$330)),0)</f>
        <v>1293951</v>
      </c>
      <c r="K70" s="15">
        <f t="shared" si="9"/>
        <v>779210</v>
      </c>
      <c r="L70" s="37">
        <f>INDEX(ActualCRLevy_SAS!$A$2:$D$326,MATCH(CashReserveLevy!$C70,ActualCRLevy_SAS!$B$2:$B$326,0),4)</f>
        <v>779210</v>
      </c>
      <c r="M70" s="38" t="str">
        <f t="shared" si="10"/>
        <v>Max</v>
      </c>
      <c r="N70" s="17" t="str">
        <f t="shared" si="11"/>
        <v/>
      </c>
      <c r="O70" s="17" t="str">
        <f t="shared" si="7"/>
        <v/>
      </c>
      <c r="Q70" s="36">
        <f t="shared" si="12"/>
        <v>0</v>
      </c>
      <c r="U70" s="37">
        <v>779210</v>
      </c>
      <c r="V70" s="36">
        <f t="shared" si="13"/>
        <v>0</v>
      </c>
    </row>
    <row r="71" spans="1:22" x14ac:dyDescent="0.2">
      <c r="A71" s="14">
        <v>2024</v>
      </c>
      <c r="B71" s="14" t="s">
        <v>20</v>
      </c>
      <c r="C71" s="14" t="s">
        <v>148</v>
      </c>
      <c r="D71" s="14" t="s">
        <v>688</v>
      </c>
      <c r="E71" s="14" t="s">
        <v>688</v>
      </c>
      <c r="F71" s="14" t="s">
        <v>148</v>
      </c>
      <c r="G71" s="14" t="s">
        <v>149</v>
      </c>
      <c r="H71" s="15">
        <f>ROUND(SUMPRODUCT(SUMIF(Final!$G$4:$G$330,CashReserveLevy!D71:F71,Final!$C$4:$C$330)),0)</f>
        <v>69631304</v>
      </c>
      <c r="I71" s="15">
        <f t="shared" si="8"/>
        <v>13926261</v>
      </c>
      <c r="J71" s="15">
        <f>ROUND(SUMPRODUCT(SUMIF(Final!$G$4:$G$330,CashReserveLevy!D71:F71,Final!$E$4:$E$330)),0)</f>
        <v>13147650</v>
      </c>
      <c r="K71" s="15">
        <f t="shared" si="9"/>
        <v>778611</v>
      </c>
      <c r="L71" s="37">
        <f>INDEX(ActualCRLevy_SAS!$A$2:$D$326,MATCH(CashReserveLevy!$C71,ActualCRLevy_SAS!$B$2:$B$326,0),4)</f>
        <v>778611</v>
      </c>
      <c r="M71" s="38" t="str">
        <f t="shared" si="10"/>
        <v>Max</v>
      </c>
      <c r="N71" s="17" t="str">
        <f t="shared" si="11"/>
        <v/>
      </c>
      <c r="O71" s="17" t="str">
        <f t="shared" si="7"/>
        <v/>
      </c>
      <c r="Q71" s="36">
        <f t="shared" si="12"/>
        <v>0</v>
      </c>
      <c r="U71" s="37">
        <v>778611</v>
      </c>
      <c r="V71" s="36">
        <f t="shared" si="13"/>
        <v>0</v>
      </c>
    </row>
    <row r="72" spans="1:22" x14ac:dyDescent="0.2">
      <c r="A72" s="14">
        <v>2024</v>
      </c>
      <c r="B72" s="14" t="s">
        <v>0</v>
      </c>
      <c r="C72" s="14" t="s">
        <v>150</v>
      </c>
      <c r="D72" s="14" t="s">
        <v>688</v>
      </c>
      <c r="E72" s="14" t="s">
        <v>688</v>
      </c>
      <c r="F72" s="14" t="s">
        <v>150</v>
      </c>
      <c r="G72" s="14" t="s">
        <v>151</v>
      </c>
      <c r="H72" s="15">
        <f>ROUND(SUMPRODUCT(SUMIF(Final!$G$4:$G$330,CashReserveLevy!D72:F72,Final!$C$4:$C$330)),0)</f>
        <v>6112293</v>
      </c>
      <c r="I72" s="15">
        <f t="shared" si="8"/>
        <v>1222459</v>
      </c>
      <c r="J72" s="15">
        <f>ROUND(SUMPRODUCT(SUMIF(Final!$G$4:$G$330,CashReserveLevy!D72:F72,Final!$E$4:$E$330)),0)</f>
        <v>2298467</v>
      </c>
      <c r="K72" s="15">
        <f t="shared" si="9"/>
        <v>0</v>
      </c>
      <c r="L72" s="37">
        <f>INDEX(ActualCRLevy_SAS!$A$2:$D$326,MATCH(CashReserveLevy!$C72,ActualCRLevy_SAS!$B$2:$B$326,0),4)</f>
        <v>0</v>
      </c>
      <c r="M72" s="38" t="str">
        <f t="shared" si="10"/>
        <v/>
      </c>
      <c r="N72" s="17" t="str">
        <f t="shared" si="11"/>
        <v/>
      </c>
      <c r="O72" s="17" t="str">
        <f t="shared" si="7"/>
        <v/>
      </c>
      <c r="Q72" s="36">
        <f t="shared" si="12"/>
        <v>0</v>
      </c>
      <c r="U72" s="37">
        <v>0</v>
      </c>
      <c r="V72" s="36">
        <f t="shared" si="13"/>
        <v>0</v>
      </c>
    </row>
    <row r="73" spans="1:22" x14ac:dyDescent="0.2">
      <c r="A73" s="14">
        <v>2024</v>
      </c>
      <c r="B73" s="14" t="s">
        <v>0</v>
      </c>
      <c r="C73" s="14" t="s">
        <v>152</v>
      </c>
      <c r="D73" s="14" t="s">
        <v>688</v>
      </c>
      <c r="E73" s="14" t="s">
        <v>688</v>
      </c>
      <c r="F73" s="14" t="s">
        <v>152</v>
      </c>
      <c r="G73" s="14" t="s">
        <v>153</v>
      </c>
      <c r="H73" s="15">
        <f>ROUND(SUMPRODUCT(SUMIF(Final!$G$4:$G$330,CashReserveLevy!D73:F73,Final!$C$4:$C$330)),0)</f>
        <v>6342919</v>
      </c>
      <c r="I73" s="15">
        <f t="shared" si="8"/>
        <v>1268584</v>
      </c>
      <c r="J73" s="15">
        <f>ROUND(SUMPRODUCT(SUMIF(Final!$G$4:$G$330,CashReserveLevy!D73:F73,Final!$E$4:$E$330)),0)</f>
        <v>578100</v>
      </c>
      <c r="K73" s="15">
        <f t="shared" si="9"/>
        <v>690484</v>
      </c>
      <c r="L73" s="37">
        <f>INDEX(ActualCRLevy_SAS!$A$2:$D$326,MATCH(CashReserveLevy!$C73,ActualCRLevy_SAS!$B$2:$B$326,0),4)</f>
        <v>460000</v>
      </c>
      <c r="M73" s="38" t="str">
        <f t="shared" si="10"/>
        <v/>
      </c>
      <c r="N73" s="17" t="str">
        <f t="shared" si="11"/>
        <v/>
      </c>
      <c r="O73" s="17" t="str">
        <f t="shared" si="7"/>
        <v/>
      </c>
      <c r="Q73" s="36">
        <f t="shared" si="12"/>
        <v>230484</v>
      </c>
      <c r="U73" s="37">
        <v>690484</v>
      </c>
      <c r="V73" s="36">
        <f t="shared" si="13"/>
        <v>0</v>
      </c>
    </row>
    <row r="74" spans="1:22" x14ac:dyDescent="0.2">
      <c r="A74" s="14">
        <v>2024</v>
      </c>
      <c r="B74" s="14" t="s">
        <v>37</v>
      </c>
      <c r="C74" s="14" t="s">
        <v>154</v>
      </c>
      <c r="D74" s="14" t="s">
        <v>688</v>
      </c>
      <c r="E74" s="14" t="s">
        <v>688</v>
      </c>
      <c r="F74" s="14" t="s">
        <v>154</v>
      </c>
      <c r="G74" s="14" t="s">
        <v>155</v>
      </c>
      <c r="H74" s="15">
        <f>ROUND(SUMPRODUCT(SUMIF(Final!$G$4:$G$330,CashReserveLevy!D74:F74,Final!$C$4:$C$330)),0)</f>
        <v>9396307</v>
      </c>
      <c r="I74" s="15">
        <f t="shared" si="8"/>
        <v>1879261</v>
      </c>
      <c r="J74" s="15">
        <f>ROUND(SUMPRODUCT(SUMIF(Final!$G$4:$G$330,CashReserveLevy!D74:F74,Final!$E$4:$E$330)),0)</f>
        <v>4529087</v>
      </c>
      <c r="K74" s="15">
        <f t="shared" si="9"/>
        <v>0</v>
      </c>
      <c r="L74" s="37">
        <f>INDEX(ActualCRLevy_SAS!$A$2:$D$326,MATCH(CashReserveLevy!$C74,ActualCRLevy_SAS!$B$2:$B$326,0),4)</f>
        <v>0</v>
      </c>
      <c r="M74" s="38" t="str">
        <f t="shared" si="10"/>
        <v/>
      </c>
      <c r="N74" s="17" t="str">
        <f t="shared" si="11"/>
        <v/>
      </c>
      <c r="O74" s="17" t="str">
        <f t="shared" si="7"/>
        <v/>
      </c>
      <c r="Q74" s="36">
        <f t="shared" si="12"/>
        <v>0</v>
      </c>
      <c r="U74" s="37">
        <v>0</v>
      </c>
      <c r="V74" s="36">
        <f t="shared" si="13"/>
        <v>0</v>
      </c>
    </row>
    <row r="75" spans="1:22" x14ac:dyDescent="0.2">
      <c r="A75" s="14">
        <v>2024</v>
      </c>
      <c r="B75" s="14" t="s">
        <v>0</v>
      </c>
      <c r="C75" s="14" t="s">
        <v>156</v>
      </c>
      <c r="D75" s="14" t="s">
        <v>688</v>
      </c>
      <c r="E75" s="14" t="s">
        <v>688</v>
      </c>
      <c r="F75" s="14" t="s">
        <v>156</v>
      </c>
      <c r="G75" s="14" t="s">
        <v>157</v>
      </c>
      <c r="H75" s="15">
        <f>ROUND(SUMPRODUCT(SUMIF(Final!$G$4:$G$330,CashReserveLevy!D75:F75,Final!$C$4:$C$330)),0)</f>
        <v>5915096</v>
      </c>
      <c r="I75" s="15">
        <f t="shared" si="8"/>
        <v>1183019</v>
      </c>
      <c r="J75" s="15">
        <f>ROUND(SUMPRODUCT(SUMIF(Final!$G$4:$G$330,CashReserveLevy!D75:F75,Final!$E$4:$E$330)),0)</f>
        <v>1991908</v>
      </c>
      <c r="K75" s="15">
        <f t="shared" si="9"/>
        <v>0</v>
      </c>
      <c r="L75" s="37">
        <f>INDEX(ActualCRLevy_SAS!$A$2:$D$326,MATCH(CashReserveLevy!$C75,ActualCRLevy_SAS!$B$2:$B$326,0),4)</f>
        <v>0</v>
      </c>
      <c r="M75" s="38" t="str">
        <f t="shared" si="10"/>
        <v/>
      </c>
      <c r="N75" s="17" t="str">
        <f t="shared" si="11"/>
        <v/>
      </c>
      <c r="O75" s="17" t="str">
        <f t="shared" si="7"/>
        <v/>
      </c>
      <c r="Q75" s="36">
        <f t="shared" si="12"/>
        <v>0</v>
      </c>
      <c r="U75" s="37">
        <v>0</v>
      </c>
      <c r="V75" s="36">
        <f t="shared" si="13"/>
        <v>0</v>
      </c>
    </row>
    <row r="76" spans="1:22" x14ac:dyDescent="0.2">
      <c r="A76" s="14">
        <v>2024</v>
      </c>
      <c r="B76" s="14" t="s">
        <v>8</v>
      </c>
      <c r="C76" s="14" t="s">
        <v>158</v>
      </c>
      <c r="D76" s="14" t="s">
        <v>688</v>
      </c>
      <c r="E76" s="14" t="s">
        <v>688</v>
      </c>
      <c r="F76" s="14" t="s">
        <v>158</v>
      </c>
      <c r="G76" s="14" t="s">
        <v>159</v>
      </c>
      <c r="H76" s="15">
        <f>ROUND(SUMPRODUCT(SUMIF(Final!$G$4:$G$330,CashReserveLevy!D76:F76,Final!$C$4:$C$330)),0)</f>
        <v>6982419</v>
      </c>
      <c r="I76" s="15">
        <f t="shared" si="8"/>
        <v>1396484</v>
      </c>
      <c r="J76" s="15">
        <f>ROUND(SUMPRODUCT(SUMIF(Final!$G$4:$G$330,CashReserveLevy!D76:F76,Final!$E$4:$E$330)),0)</f>
        <v>1929198</v>
      </c>
      <c r="K76" s="15">
        <f t="shared" si="9"/>
        <v>0</v>
      </c>
      <c r="L76" s="37">
        <f>INDEX(ActualCRLevy_SAS!$A$2:$D$326,MATCH(CashReserveLevy!$C76,ActualCRLevy_SAS!$B$2:$B$326,0),4)</f>
        <v>0</v>
      </c>
      <c r="M76" s="38" t="str">
        <f t="shared" si="10"/>
        <v/>
      </c>
      <c r="N76" s="17" t="str">
        <f t="shared" si="11"/>
        <v/>
      </c>
      <c r="O76" s="17" t="str">
        <f t="shared" si="7"/>
        <v/>
      </c>
      <c r="Q76" s="36">
        <f t="shared" si="12"/>
        <v>0</v>
      </c>
      <c r="U76" s="37">
        <v>0</v>
      </c>
      <c r="V76" s="36">
        <f t="shared" si="13"/>
        <v>0</v>
      </c>
    </row>
    <row r="77" spans="1:22" x14ac:dyDescent="0.2">
      <c r="A77" s="14">
        <v>2024</v>
      </c>
      <c r="B77" s="14" t="s">
        <v>8</v>
      </c>
      <c r="C77" s="14" t="s">
        <v>160</v>
      </c>
      <c r="D77" s="14" t="s">
        <v>688</v>
      </c>
      <c r="E77" s="14" t="s">
        <v>688</v>
      </c>
      <c r="F77" s="14" t="s">
        <v>160</v>
      </c>
      <c r="G77" s="14" t="s">
        <v>161</v>
      </c>
      <c r="H77" s="15">
        <f>ROUND(SUMPRODUCT(SUMIF(Final!$G$4:$G$330,CashReserveLevy!D77:F77,Final!$C$4:$C$330)),0)</f>
        <v>136146160</v>
      </c>
      <c r="I77" s="15">
        <f t="shared" si="8"/>
        <v>27229232</v>
      </c>
      <c r="J77" s="15">
        <f>ROUND(SUMPRODUCT(SUMIF(Final!$G$4:$G$330,CashReserveLevy!D77:F77,Final!$E$4:$E$330)),0)</f>
        <v>14417953</v>
      </c>
      <c r="K77" s="15">
        <f t="shared" si="9"/>
        <v>12811279</v>
      </c>
      <c r="L77" s="37">
        <f>INDEX(ActualCRLevy_SAS!$A$2:$D$326,MATCH(CashReserveLevy!$C77,ActualCRLevy_SAS!$B$2:$B$326,0),4)</f>
        <v>5299348</v>
      </c>
      <c r="M77" s="38" t="str">
        <f t="shared" si="10"/>
        <v/>
      </c>
      <c r="N77" s="17" t="str">
        <f t="shared" si="11"/>
        <v/>
      </c>
      <c r="O77" s="17" t="str">
        <f t="shared" ref="O77:O140" si="14">IF(L77&gt;K77,"Exceedes Maximum Limit","")</f>
        <v/>
      </c>
      <c r="Q77" s="36">
        <f t="shared" si="12"/>
        <v>7511931</v>
      </c>
      <c r="U77" s="37">
        <v>12811279</v>
      </c>
      <c r="V77" s="36">
        <f t="shared" si="13"/>
        <v>0</v>
      </c>
    </row>
    <row r="78" spans="1:22" x14ac:dyDescent="0.2">
      <c r="A78" s="14">
        <v>2024</v>
      </c>
      <c r="B78" s="14" t="s">
        <v>8</v>
      </c>
      <c r="C78" s="14" t="s">
        <v>162</v>
      </c>
      <c r="D78" s="14" t="s">
        <v>688</v>
      </c>
      <c r="E78" s="14" t="s">
        <v>688</v>
      </c>
      <c r="F78" s="14" t="s">
        <v>162</v>
      </c>
      <c r="G78" s="14" t="s">
        <v>163</v>
      </c>
      <c r="H78" s="15">
        <f>ROUND(SUMPRODUCT(SUMIF(Final!$G$4:$G$330,CashReserveLevy!D78:F78,Final!$C$4:$C$330)),0)</f>
        <v>19399770</v>
      </c>
      <c r="I78" s="15">
        <f t="shared" si="8"/>
        <v>3879954</v>
      </c>
      <c r="J78" s="15">
        <f>ROUND(SUMPRODUCT(SUMIF(Final!$G$4:$G$330,CashReserveLevy!D78:F78,Final!$E$4:$E$330)),0)</f>
        <v>3719579</v>
      </c>
      <c r="K78" s="15">
        <f t="shared" si="9"/>
        <v>160375</v>
      </c>
      <c r="L78" s="37">
        <f>INDEX(ActualCRLevy_SAS!$A$2:$D$326,MATCH(CashReserveLevy!$C78,ActualCRLevy_SAS!$B$2:$B$326,0),4)</f>
        <v>160375</v>
      </c>
      <c r="M78" s="38" t="str">
        <f t="shared" si="10"/>
        <v>Max</v>
      </c>
      <c r="N78" s="17" t="str">
        <f t="shared" si="11"/>
        <v/>
      </c>
      <c r="O78" s="17" t="str">
        <f t="shared" si="14"/>
        <v/>
      </c>
      <c r="Q78" s="36">
        <f t="shared" si="12"/>
        <v>0</v>
      </c>
      <c r="U78" s="37">
        <v>160375</v>
      </c>
      <c r="V78" s="36">
        <f t="shared" si="13"/>
        <v>0</v>
      </c>
    </row>
    <row r="79" spans="1:22" x14ac:dyDescent="0.2">
      <c r="A79" s="14">
        <v>2024</v>
      </c>
      <c r="B79" s="14" t="s">
        <v>0</v>
      </c>
      <c r="C79" s="14" t="s">
        <v>164</v>
      </c>
      <c r="D79" s="14" t="s">
        <v>688</v>
      </c>
      <c r="E79" s="14" t="s">
        <v>688</v>
      </c>
      <c r="F79" s="14" t="s">
        <v>164</v>
      </c>
      <c r="G79" s="14" t="s">
        <v>165</v>
      </c>
      <c r="H79" s="15">
        <f>ROUND(SUMPRODUCT(SUMIF(Final!$G$4:$G$330,CashReserveLevy!D79:F79,Final!$C$4:$C$330)),0)</f>
        <v>40756794</v>
      </c>
      <c r="I79" s="15">
        <f t="shared" si="8"/>
        <v>8151359</v>
      </c>
      <c r="J79" s="15">
        <f>ROUND(SUMPRODUCT(SUMIF(Final!$G$4:$G$330,CashReserveLevy!D79:F79,Final!$E$4:$E$330)),0)</f>
        <v>5632048</v>
      </c>
      <c r="K79" s="15">
        <f t="shared" si="9"/>
        <v>2519311</v>
      </c>
      <c r="L79" s="37">
        <f>INDEX(ActualCRLevy_SAS!$A$2:$D$326,MATCH(CashReserveLevy!$C79,ActualCRLevy_SAS!$B$2:$B$326,0),4)</f>
        <v>2519311</v>
      </c>
      <c r="M79" s="38" t="str">
        <f t="shared" si="10"/>
        <v>Max</v>
      </c>
      <c r="N79" s="17" t="str">
        <f t="shared" si="11"/>
        <v/>
      </c>
      <c r="O79" s="17" t="str">
        <f t="shared" si="14"/>
        <v/>
      </c>
      <c r="Q79" s="36">
        <f t="shared" si="12"/>
        <v>0</v>
      </c>
      <c r="U79" s="37">
        <v>2519311</v>
      </c>
      <c r="V79" s="36">
        <f t="shared" si="13"/>
        <v>0</v>
      </c>
    </row>
    <row r="80" spans="1:22" x14ac:dyDescent="0.2">
      <c r="A80" s="14">
        <v>2024</v>
      </c>
      <c r="B80" s="14" t="s">
        <v>17</v>
      </c>
      <c r="C80" s="14" t="s">
        <v>166</v>
      </c>
      <c r="D80" s="14" t="s">
        <v>688</v>
      </c>
      <c r="E80" s="14" t="s">
        <v>688</v>
      </c>
      <c r="F80" s="14" t="s">
        <v>166</v>
      </c>
      <c r="G80" s="14" t="s">
        <v>167</v>
      </c>
      <c r="H80" s="15">
        <f>ROUND(SUMPRODUCT(SUMIF(Final!$G$4:$G$330,CashReserveLevy!D80:F80,Final!$C$4:$C$330)),0)</f>
        <v>7883960</v>
      </c>
      <c r="I80" s="15">
        <f t="shared" si="8"/>
        <v>1576792</v>
      </c>
      <c r="J80" s="15">
        <f>ROUND(SUMPRODUCT(SUMIF(Final!$G$4:$G$330,CashReserveLevy!D80:F80,Final!$E$4:$E$330)),0)</f>
        <v>1895974</v>
      </c>
      <c r="K80" s="15">
        <f t="shared" si="9"/>
        <v>0</v>
      </c>
      <c r="L80" s="37">
        <f>INDEX(ActualCRLevy_SAS!$A$2:$D$326,MATCH(CashReserveLevy!$C80,ActualCRLevy_SAS!$B$2:$B$326,0),4)</f>
        <v>0</v>
      </c>
      <c r="M80" s="38" t="str">
        <f t="shared" si="10"/>
        <v/>
      </c>
      <c r="N80" s="17" t="str">
        <f t="shared" si="11"/>
        <v/>
      </c>
      <c r="O80" s="17" t="str">
        <f t="shared" si="14"/>
        <v/>
      </c>
      <c r="Q80" s="36">
        <f t="shared" si="12"/>
        <v>0</v>
      </c>
      <c r="U80" s="37">
        <v>0</v>
      </c>
      <c r="V80" s="36">
        <f t="shared" si="13"/>
        <v>0</v>
      </c>
    </row>
    <row r="81" spans="1:22" x14ac:dyDescent="0.2">
      <c r="A81" s="14">
        <v>2024</v>
      </c>
      <c r="B81" s="14" t="s">
        <v>37</v>
      </c>
      <c r="C81" s="14" t="s">
        <v>168</v>
      </c>
      <c r="D81" s="14" t="s">
        <v>688</v>
      </c>
      <c r="E81" s="14" t="s">
        <v>688</v>
      </c>
      <c r="F81" s="14" t="s">
        <v>168</v>
      </c>
      <c r="G81" s="14" t="s">
        <v>169</v>
      </c>
      <c r="H81" s="15">
        <f>ROUND(SUMPRODUCT(SUMIF(Final!$G$4:$G$330,CashReserveLevy!D81:F81,Final!$C$4:$C$330)),0)</f>
        <v>196042146</v>
      </c>
      <c r="I81" s="15">
        <f t="shared" si="8"/>
        <v>39208429</v>
      </c>
      <c r="J81" s="15">
        <f>ROUND(SUMPRODUCT(SUMIF(Final!$G$4:$G$330,CashReserveLevy!D81:F81,Final!$E$4:$E$330)),0)</f>
        <v>32346582</v>
      </c>
      <c r="K81" s="15">
        <f t="shared" si="9"/>
        <v>6861847</v>
      </c>
      <c r="L81" s="37">
        <f>INDEX(ActualCRLevy_SAS!$A$2:$D$326,MATCH(CashReserveLevy!$C81,ActualCRLevy_SAS!$B$2:$B$326,0),4)</f>
        <v>6775876</v>
      </c>
      <c r="M81" s="38" t="str">
        <f t="shared" si="10"/>
        <v/>
      </c>
      <c r="N81" s="17" t="str">
        <f t="shared" si="11"/>
        <v/>
      </c>
      <c r="O81" s="17" t="str">
        <f t="shared" si="14"/>
        <v/>
      </c>
      <c r="Q81" s="36">
        <f t="shared" si="12"/>
        <v>85971</v>
      </c>
      <c r="U81" s="37">
        <v>6775876</v>
      </c>
      <c r="V81" s="36">
        <f t="shared" si="13"/>
        <v>85971</v>
      </c>
    </row>
    <row r="82" spans="1:22" x14ac:dyDescent="0.2">
      <c r="A82" s="14">
        <v>2024</v>
      </c>
      <c r="B82" s="14" t="s">
        <v>17</v>
      </c>
      <c r="C82" s="14" t="s">
        <v>170</v>
      </c>
      <c r="D82" s="14" t="s">
        <v>688</v>
      </c>
      <c r="E82" s="14" t="s">
        <v>688</v>
      </c>
      <c r="F82" s="14" t="s">
        <v>170</v>
      </c>
      <c r="G82" s="14" t="s">
        <v>171</v>
      </c>
      <c r="H82" s="15">
        <f>ROUND(SUMPRODUCT(SUMIF(Final!$G$4:$G$330,CashReserveLevy!D82:F82,Final!$C$4:$C$330)),0)</f>
        <v>18614354</v>
      </c>
      <c r="I82" s="15">
        <f t="shared" si="8"/>
        <v>3722871</v>
      </c>
      <c r="J82" s="15">
        <f>ROUND(SUMPRODUCT(SUMIF(Final!$G$4:$G$330,CashReserveLevy!D82:F82,Final!$E$4:$E$330)),0)</f>
        <v>4116854</v>
      </c>
      <c r="K82" s="15">
        <f t="shared" si="9"/>
        <v>0</v>
      </c>
      <c r="L82" s="37">
        <f>INDEX(ActualCRLevy_SAS!$A$2:$D$326,MATCH(CashReserveLevy!$C82,ActualCRLevy_SAS!$B$2:$B$326,0),4)</f>
        <v>0</v>
      </c>
      <c r="M82" s="38" t="str">
        <f t="shared" si="10"/>
        <v/>
      </c>
      <c r="N82" s="17" t="str">
        <f t="shared" si="11"/>
        <v/>
      </c>
      <c r="O82" s="17" t="str">
        <f t="shared" si="14"/>
        <v/>
      </c>
      <c r="Q82" s="36">
        <f t="shared" si="12"/>
        <v>0</v>
      </c>
      <c r="U82" s="37">
        <v>0</v>
      </c>
      <c r="V82" s="36">
        <f t="shared" si="13"/>
        <v>0</v>
      </c>
    </row>
    <row r="83" spans="1:22" x14ac:dyDescent="0.2">
      <c r="A83" s="14">
        <v>2024</v>
      </c>
      <c r="B83" s="14" t="s">
        <v>28</v>
      </c>
      <c r="C83" s="14" t="s">
        <v>172</v>
      </c>
      <c r="D83" s="14" t="s">
        <v>688</v>
      </c>
      <c r="E83" s="14" t="s">
        <v>688</v>
      </c>
      <c r="F83" s="14" t="s">
        <v>172</v>
      </c>
      <c r="G83" s="14" t="s">
        <v>173</v>
      </c>
      <c r="H83" s="15">
        <f>ROUND(SUMPRODUCT(SUMIF(Final!$G$4:$G$330,CashReserveLevy!D83:F83,Final!$C$4:$C$330)),0)</f>
        <v>22400327</v>
      </c>
      <c r="I83" s="15">
        <f t="shared" si="8"/>
        <v>4480065</v>
      </c>
      <c r="J83" s="15">
        <f>ROUND(SUMPRODUCT(SUMIF(Final!$G$4:$G$330,CashReserveLevy!D83:F83,Final!$E$4:$E$330)),0)</f>
        <v>3740899</v>
      </c>
      <c r="K83" s="15">
        <f t="shared" si="9"/>
        <v>739166</v>
      </c>
      <c r="L83" s="37">
        <f>INDEX(ActualCRLevy_SAS!$A$2:$D$326,MATCH(CashReserveLevy!$C83,ActualCRLevy_SAS!$B$2:$B$326,0),4)</f>
        <v>739166</v>
      </c>
      <c r="M83" s="38" t="str">
        <f t="shared" si="10"/>
        <v>Max</v>
      </c>
      <c r="N83" s="17" t="str">
        <f t="shared" si="11"/>
        <v/>
      </c>
      <c r="O83" s="17" t="str">
        <f t="shared" si="14"/>
        <v/>
      </c>
      <c r="Q83" s="36">
        <f t="shared" si="12"/>
        <v>0</v>
      </c>
      <c r="U83" s="37">
        <v>739166</v>
      </c>
      <c r="V83" s="36">
        <f t="shared" si="13"/>
        <v>0</v>
      </c>
    </row>
    <row r="84" spans="1:22" x14ac:dyDescent="0.2">
      <c r="A84" s="14">
        <v>2024</v>
      </c>
      <c r="B84" s="14" t="s">
        <v>37</v>
      </c>
      <c r="C84" s="14" t="s">
        <v>174</v>
      </c>
      <c r="D84" s="14" t="s">
        <v>688</v>
      </c>
      <c r="E84" s="14" t="s">
        <v>688</v>
      </c>
      <c r="F84" s="14" t="s">
        <v>174</v>
      </c>
      <c r="G84" s="14" t="s">
        <v>175</v>
      </c>
      <c r="H84" s="15">
        <f>ROUND(SUMPRODUCT(SUMIF(Final!$G$4:$G$330,CashReserveLevy!D84:F84,Final!$C$4:$C$330)),0)</f>
        <v>3531138</v>
      </c>
      <c r="I84" s="15">
        <f t="shared" si="8"/>
        <v>706228</v>
      </c>
      <c r="J84" s="15">
        <f>ROUND(SUMPRODUCT(SUMIF(Final!$G$4:$G$330,CashReserveLevy!D84:F84,Final!$E$4:$E$330)),0)</f>
        <v>666835</v>
      </c>
      <c r="K84" s="15">
        <f t="shared" si="9"/>
        <v>39393</v>
      </c>
      <c r="L84" s="37">
        <f>INDEX(ActualCRLevy_SAS!$A$2:$D$326,MATCH(CashReserveLevy!$C84,ActualCRLevy_SAS!$B$2:$B$326,0),4)</f>
        <v>39393</v>
      </c>
      <c r="M84" s="38" t="str">
        <f t="shared" si="10"/>
        <v>Max</v>
      </c>
      <c r="N84" s="17" t="str">
        <f t="shared" si="11"/>
        <v/>
      </c>
      <c r="O84" s="17" t="str">
        <f t="shared" si="14"/>
        <v/>
      </c>
      <c r="Q84" s="36">
        <f t="shared" si="12"/>
        <v>0</v>
      </c>
      <c r="U84" s="37">
        <v>39393</v>
      </c>
      <c r="V84" s="36">
        <f t="shared" si="13"/>
        <v>0</v>
      </c>
    </row>
    <row r="85" spans="1:22" x14ac:dyDescent="0.2">
      <c r="A85" s="14">
        <v>2024</v>
      </c>
      <c r="B85" s="14" t="s">
        <v>11</v>
      </c>
      <c r="C85" s="14" t="s">
        <v>176</v>
      </c>
      <c r="D85" s="14" t="s">
        <v>688</v>
      </c>
      <c r="E85" s="14" t="s">
        <v>688</v>
      </c>
      <c r="F85" s="14" t="s">
        <v>176</v>
      </c>
      <c r="G85" s="14" t="s">
        <v>177</v>
      </c>
      <c r="H85" s="15">
        <f>ROUND(SUMPRODUCT(SUMIF(Final!$G$4:$G$330,CashReserveLevy!D85:F85,Final!$C$4:$C$330)),0)</f>
        <v>29032948</v>
      </c>
      <c r="I85" s="15">
        <f t="shared" si="8"/>
        <v>5806590</v>
      </c>
      <c r="J85" s="15">
        <f>ROUND(SUMPRODUCT(SUMIF(Final!$G$4:$G$330,CashReserveLevy!D85:F85,Final!$E$4:$E$330)),0)</f>
        <v>10768558</v>
      </c>
      <c r="K85" s="15">
        <f t="shared" si="9"/>
        <v>0</v>
      </c>
      <c r="L85" s="37">
        <f>INDEX(ActualCRLevy_SAS!$A$2:$D$326,MATCH(CashReserveLevy!$C85,ActualCRLevy_SAS!$B$2:$B$326,0),4)</f>
        <v>0</v>
      </c>
      <c r="M85" s="38" t="str">
        <f t="shared" si="10"/>
        <v/>
      </c>
      <c r="N85" s="17" t="str">
        <f t="shared" si="11"/>
        <v/>
      </c>
      <c r="O85" s="17" t="str">
        <f t="shared" si="14"/>
        <v/>
      </c>
      <c r="Q85" s="36">
        <f t="shared" si="12"/>
        <v>0</v>
      </c>
      <c r="U85" s="37">
        <v>0</v>
      </c>
      <c r="V85" s="36">
        <f t="shared" si="13"/>
        <v>0</v>
      </c>
    </row>
    <row r="86" spans="1:22" x14ac:dyDescent="0.2">
      <c r="A86" s="14">
        <v>2024</v>
      </c>
      <c r="B86" s="14" t="s">
        <v>5</v>
      </c>
      <c r="C86" s="14" t="s">
        <v>178</v>
      </c>
      <c r="D86" s="14" t="s">
        <v>688</v>
      </c>
      <c r="E86" s="14" t="s">
        <v>688</v>
      </c>
      <c r="F86" s="14" t="s">
        <v>178</v>
      </c>
      <c r="G86" s="14" t="s">
        <v>179</v>
      </c>
      <c r="H86" s="15">
        <f>ROUND(SUMPRODUCT(SUMIF(Final!$G$4:$G$330,CashReserveLevy!D86:F86,Final!$C$4:$C$330)),0)</f>
        <v>10465332</v>
      </c>
      <c r="I86" s="15">
        <f t="shared" si="8"/>
        <v>2093066</v>
      </c>
      <c r="J86" s="15">
        <f>ROUND(SUMPRODUCT(SUMIF(Final!$G$4:$G$330,CashReserveLevy!D86:F86,Final!$E$4:$E$330)),0)</f>
        <v>707008</v>
      </c>
      <c r="K86" s="15">
        <f t="shared" si="9"/>
        <v>1386058</v>
      </c>
      <c r="L86" s="37">
        <f>INDEX(ActualCRLevy_SAS!$A$2:$D$326,MATCH(CashReserveLevy!$C86,ActualCRLevy_SAS!$B$2:$B$326,0),4)</f>
        <v>645000</v>
      </c>
      <c r="M86" s="38" t="str">
        <f t="shared" si="10"/>
        <v/>
      </c>
      <c r="N86" s="17" t="str">
        <f t="shared" si="11"/>
        <v/>
      </c>
      <c r="O86" s="17" t="str">
        <f t="shared" si="14"/>
        <v/>
      </c>
      <c r="Q86" s="36">
        <f t="shared" si="12"/>
        <v>741058</v>
      </c>
      <c r="U86" s="37">
        <v>1386058</v>
      </c>
      <c r="V86" s="36">
        <f t="shared" si="13"/>
        <v>0</v>
      </c>
    </row>
    <row r="87" spans="1:22" x14ac:dyDescent="0.2">
      <c r="A87" s="14">
        <v>2024</v>
      </c>
      <c r="B87" s="14" t="s">
        <v>0</v>
      </c>
      <c r="C87" s="14" t="s">
        <v>180</v>
      </c>
      <c r="D87" s="14" t="s">
        <v>688</v>
      </c>
      <c r="E87" s="14" t="s">
        <v>688</v>
      </c>
      <c r="F87" s="14" t="s">
        <v>180</v>
      </c>
      <c r="G87" s="14" t="s">
        <v>181</v>
      </c>
      <c r="H87" s="15">
        <f>ROUND(SUMPRODUCT(SUMIF(Final!$G$4:$G$330,CashReserveLevy!D87:F87,Final!$C$4:$C$330)),0)</f>
        <v>469829651</v>
      </c>
      <c r="I87" s="15">
        <f t="shared" si="8"/>
        <v>93965930</v>
      </c>
      <c r="J87" s="15">
        <f>ROUND(SUMPRODUCT(SUMIF(Final!$G$4:$G$330,CashReserveLevy!D87:F87,Final!$E$4:$E$330)),0)</f>
        <v>158270801</v>
      </c>
      <c r="K87" s="15">
        <f t="shared" si="9"/>
        <v>0</v>
      </c>
      <c r="L87" s="37">
        <f>INDEX(ActualCRLevy_SAS!$A$2:$D$326,MATCH(CashReserveLevy!$C87,ActualCRLevy_SAS!$B$2:$B$326,0),4)</f>
        <v>0</v>
      </c>
      <c r="M87" s="38" t="str">
        <f t="shared" si="10"/>
        <v/>
      </c>
      <c r="N87" s="17" t="str">
        <f t="shared" si="11"/>
        <v/>
      </c>
      <c r="O87" s="17" t="str">
        <f t="shared" si="14"/>
        <v/>
      </c>
      <c r="Q87" s="36">
        <f t="shared" si="12"/>
        <v>0</v>
      </c>
      <c r="U87" s="37">
        <v>0</v>
      </c>
      <c r="V87" s="36">
        <f t="shared" si="13"/>
        <v>0</v>
      </c>
    </row>
    <row r="88" spans="1:22" x14ac:dyDescent="0.2">
      <c r="A88" s="14">
        <v>2024</v>
      </c>
      <c r="B88" s="14" t="s">
        <v>8</v>
      </c>
      <c r="C88" s="14" t="s">
        <v>182</v>
      </c>
      <c r="D88" s="14" t="s">
        <v>688</v>
      </c>
      <c r="E88" s="14" t="s">
        <v>688</v>
      </c>
      <c r="F88" s="14" t="s">
        <v>182</v>
      </c>
      <c r="G88" s="14" t="s">
        <v>183</v>
      </c>
      <c r="H88" s="15">
        <f>ROUND(SUMPRODUCT(SUMIF(Final!$G$4:$G$330,CashReserveLevy!D88:F88,Final!$C$4:$C$330)),0)</f>
        <v>2164315</v>
      </c>
      <c r="I88" s="15">
        <f t="shared" si="8"/>
        <v>432863</v>
      </c>
      <c r="J88" s="15">
        <f>ROUND(SUMPRODUCT(SUMIF(Final!$G$4:$G$330,CashReserveLevy!D88:F88,Final!$E$4:$E$330)),0)</f>
        <v>172449</v>
      </c>
      <c r="K88" s="15">
        <f t="shared" si="9"/>
        <v>260414</v>
      </c>
      <c r="L88" s="37">
        <f>INDEX(ActualCRLevy_SAS!$A$2:$D$326,MATCH(CashReserveLevy!$C88,ActualCRLevy_SAS!$B$2:$B$326,0),4)</f>
        <v>170000</v>
      </c>
      <c r="M88" s="38" t="str">
        <f t="shared" si="10"/>
        <v/>
      </c>
      <c r="N88" s="17" t="str">
        <f t="shared" si="11"/>
        <v/>
      </c>
      <c r="O88" s="17" t="str">
        <f t="shared" si="14"/>
        <v/>
      </c>
      <c r="Q88" s="36">
        <f t="shared" si="12"/>
        <v>90414</v>
      </c>
      <c r="U88" s="37">
        <v>260414</v>
      </c>
      <c r="V88" s="36">
        <f t="shared" si="13"/>
        <v>0</v>
      </c>
    </row>
    <row r="89" spans="1:22" x14ac:dyDescent="0.2">
      <c r="A89" s="14">
        <v>2024</v>
      </c>
      <c r="B89" s="14" t="s">
        <v>5</v>
      </c>
      <c r="C89" s="14" t="s">
        <v>184</v>
      </c>
      <c r="D89" s="14" t="s">
        <v>688</v>
      </c>
      <c r="E89" s="14" t="s">
        <v>688</v>
      </c>
      <c r="F89" s="14" t="s">
        <v>184</v>
      </c>
      <c r="G89" s="14" t="s">
        <v>185</v>
      </c>
      <c r="H89" s="15">
        <f>ROUND(SUMPRODUCT(SUMIF(Final!$G$4:$G$330,CashReserveLevy!D89:F89,Final!$C$4:$C$330)),0)</f>
        <v>11513881</v>
      </c>
      <c r="I89" s="15">
        <f t="shared" si="8"/>
        <v>2302776</v>
      </c>
      <c r="J89" s="15">
        <f>ROUND(SUMPRODUCT(SUMIF(Final!$G$4:$G$330,CashReserveLevy!D89:F89,Final!$E$4:$E$330)),0)</f>
        <v>1408934</v>
      </c>
      <c r="K89" s="15">
        <f t="shared" si="9"/>
        <v>893842</v>
      </c>
      <c r="L89" s="37">
        <f>INDEX(ActualCRLevy_SAS!$A$2:$D$326,MATCH(CashReserveLevy!$C89,ActualCRLevy_SAS!$B$2:$B$326,0),4)</f>
        <v>893842</v>
      </c>
      <c r="M89" s="38" t="str">
        <f t="shared" si="10"/>
        <v>Max</v>
      </c>
      <c r="N89" s="17" t="str">
        <f t="shared" si="11"/>
        <v/>
      </c>
      <c r="O89" s="17" t="str">
        <f t="shared" si="14"/>
        <v/>
      </c>
      <c r="Q89" s="36">
        <f t="shared" si="12"/>
        <v>0</v>
      </c>
      <c r="U89" s="37">
        <v>893842</v>
      </c>
      <c r="V89" s="36">
        <f t="shared" si="13"/>
        <v>0</v>
      </c>
    </row>
    <row r="90" spans="1:22" x14ac:dyDescent="0.2">
      <c r="A90" s="14">
        <v>2024</v>
      </c>
      <c r="B90" s="14" t="s">
        <v>28</v>
      </c>
      <c r="C90" s="14" t="s">
        <v>186</v>
      </c>
      <c r="D90" s="14" t="s">
        <v>688</v>
      </c>
      <c r="E90" s="14" t="s">
        <v>688</v>
      </c>
      <c r="F90" s="14" t="s">
        <v>186</v>
      </c>
      <c r="G90" s="14" t="s">
        <v>187</v>
      </c>
      <c r="H90" s="15">
        <f>ROUND(SUMPRODUCT(SUMIF(Final!$G$4:$G$330,CashReserveLevy!D90:F90,Final!$C$4:$C$330)),0)</f>
        <v>144568946</v>
      </c>
      <c r="I90" s="15">
        <f t="shared" si="8"/>
        <v>28913789</v>
      </c>
      <c r="J90" s="15">
        <f>ROUND(SUMPRODUCT(SUMIF(Final!$G$4:$G$330,CashReserveLevy!D90:F90,Final!$E$4:$E$330)),0)</f>
        <v>28035617</v>
      </c>
      <c r="K90" s="15">
        <f t="shared" si="9"/>
        <v>878172</v>
      </c>
      <c r="L90" s="37">
        <f>INDEX(ActualCRLevy_SAS!$A$2:$D$326,MATCH(CashReserveLevy!$C90,ActualCRLevy_SAS!$B$2:$B$326,0),4)</f>
        <v>878172</v>
      </c>
      <c r="M90" s="38" t="str">
        <f t="shared" si="10"/>
        <v>Max</v>
      </c>
      <c r="N90" s="17" t="str">
        <f t="shared" si="11"/>
        <v/>
      </c>
      <c r="O90" s="17" t="str">
        <f t="shared" si="14"/>
        <v/>
      </c>
      <c r="Q90" s="36">
        <f t="shared" si="12"/>
        <v>0</v>
      </c>
      <c r="U90" s="37">
        <v>878172</v>
      </c>
      <c r="V90" s="36">
        <f t="shared" si="13"/>
        <v>0</v>
      </c>
    </row>
    <row r="91" spans="1:22" x14ac:dyDescent="0.2">
      <c r="A91" s="14">
        <v>2024</v>
      </c>
      <c r="B91" s="14" t="s">
        <v>5</v>
      </c>
      <c r="C91" s="14" t="s">
        <v>188</v>
      </c>
      <c r="D91" s="14" t="s">
        <v>688</v>
      </c>
      <c r="E91" s="14" t="s">
        <v>688</v>
      </c>
      <c r="F91" s="14" t="s">
        <v>188</v>
      </c>
      <c r="G91" s="14" t="s">
        <v>189</v>
      </c>
      <c r="H91" s="15">
        <f>ROUND(SUMPRODUCT(SUMIF(Final!$G$4:$G$330,CashReserveLevy!D91:F91,Final!$C$4:$C$330)),0)</f>
        <v>5461687</v>
      </c>
      <c r="I91" s="15">
        <f t="shared" si="8"/>
        <v>1092337</v>
      </c>
      <c r="J91" s="15">
        <f>ROUND(SUMPRODUCT(SUMIF(Final!$G$4:$G$330,CashReserveLevy!D91:F91,Final!$E$4:$E$330)),0)</f>
        <v>1157983</v>
      </c>
      <c r="K91" s="15">
        <f t="shared" si="9"/>
        <v>0</v>
      </c>
      <c r="L91" s="37">
        <f>INDEX(ActualCRLevy_SAS!$A$2:$D$326,MATCH(CashReserveLevy!$C91,ActualCRLevy_SAS!$B$2:$B$326,0),4)</f>
        <v>0</v>
      </c>
      <c r="M91" s="38" t="str">
        <f t="shared" si="10"/>
        <v/>
      </c>
      <c r="N91" s="17" t="str">
        <f t="shared" si="11"/>
        <v/>
      </c>
      <c r="O91" s="17" t="str">
        <f t="shared" si="14"/>
        <v/>
      </c>
      <c r="Q91" s="36">
        <f t="shared" si="12"/>
        <v>0</v>
      </c>
      <c r="U91" s="37">
        <v>0</v>
      </c>
      <c r="V91" s="36">
        <f t="shared" si="13"/>
        <v>0</v>
      </c>
    </row>
    <row r="92" spans="1:22" x14ac:dyDescent="0.2">
      <c r="A92" s="14">
        <v>2024</v>
      </c>
      <c r="B92" s="14" t="s">
        <v>37</v>
      </c>
      <c r="C92" s="14" t="s">
        <v>190</v>
      </c>
      <c r="D92" s="14" t="s">
        <v>688</v>
      </c>
      <c r="E92" s="14" t="s">
        <v>688</v>
      </c>
      <c r="F92" s="14" t="s">
        <v>190</v>
      </c>
      <c r="G92" s="14" t="s">
        <v>191</v>
      </c>
      <c r="H92" s="15">
        <f>ROUND(SUMPRODUCT(SUMIF(Final!$G$4:$G$330,CashReserveLevy!D92:F92,Final!$C$4:$C$330)),0)</f>
        <v>8104587</v>
      </c>
      <c r="I92" s="15">
        <f t="shared" si="8"/>
        <v>1620917</v>
      </c>
      <c r="J92" s="15">
        <f>ROUND(SUMPRODUCT(SUMIF(Final!$G$4:$G$330,CashReserveLevy!D92:F92,Final!$E$4:$E$330)),0)</f>
        <v>1682390</v>
      </c>
      <c r="K92" s="15">
        <f t="shared" si="9"/>
        <v>0</v>
      </c>
      <c r="L92" s="37">
        <f>INDEX(ActualCRLevy_SAS!$A$2:$D$326,MATCH(CashReserveLevy!$C92,ActualCRLevy_SAS!$B$2:$B$326,0),4)</f>
        <v>0</v>
      </c>
      <c r="M92" s="38" t="str">
        <f t="shared" si="10"/>
        <v/>
      </c>
      <c r="N92" s="17" t="str">
        <f t="shared" si="11"/>
        <v/>
      </c>
      <c r="O92" s="17" t="str">
        <f t="shared" si="14"/>
        <v/>
      </c>
      <c r="Q92" s="36">
        <f t="shared" si="12"/>
        <v>0</v>
      </c>
      <c r="U92" s="37">
        <v>0</v>
      </c>
      <c r="V92" s="36">
        <f t="shared" si="13"/>
        <v>0</v>
      </c>
    </row>
    <row r="93" spans="1:22" x14ac:dyDescent="0.2">
      <c r="A93" s="14">
        <v>2024</v>
      </c>
      <c r="B93" s="14" t="s">
        <v>14</v>
      </c>
      <c r="C93" s="14" t="s">
        <v>192</v>
      </c>
      <c r="D93" s="14" t="s">
        <v>688</v>
      </c>
      <c r="E93" s="14" t="s">
        <v>688</v>
      </c>
      <c r="F93" s="14" t="s">
        <v>192</v>
      </c>
      <c r="G93" s="14" t="s">
        <v>193</v>
      </c>
      <c r="H93" s="15">
        <f>ROUND(SUMPRODUCT(SUMIF(Final!$G$4:$G$330,CashReserveLevy!D93:F93,Final!$C$4:$C$330)),0)</f>
        <v>12826400</v>
      </c>
      <c r="I93" s="15">
        <f t="shared" si="8"/>
        <v>2565280</v>
      </c>
      <c r="J93" s="15">
        <f>ROUND(SUMPRODUCT(SUMIF(Final!$G$4:$G$330,CashReserveLevy!D93:F93,Final!$E$4:$E$330)),0)</f>
        <v>4613132</v>
      </c>
      <c r="K93" s="15">
        <f t="shared" si="9"/>
        <v>0</v>
      </c>
      <c r="L93" s="37">
        <f>INDEX(ActualCRLevy_SAS!$A$2:$D$326,MATCH(CashReserveLevy!$C93,ActualCRLevy_SAS!$B$2:$B$326,0),4)</f>
        <v>0</v>
      </c>
      <c r="M93" s="38" t="str">
        <f t="shared" si="10"/>
        <v/>
      </c>
      <c r="N93" s="17" t="str">
        <f t="shared" si="11"/>
        <v/>
      </c>
      <c r="O93" s="17" t="str">
        <f t="shared" si="14"/>
        <v/>
      </c>
      <c r="Q93" s="36">
        <f t="shared" si="12"/>
        <v>0</v>
      </c>
      <c r="U93" s="37">
        <v>0</v>
      </c>
      <c r="V93" s="36">
        <f t="shared" si="13"/>
        <v>0</v>
      </c>
    </row>
    <row r="94" spans="1:22" x14ac:dyDescent="0.2">
      <c r="A94" s="14">
        <v>2024</v>
      </c>
      <c r="B94" s="14" t="s">
        <v>0</v>
      </c>
      <c r="C94" s="14" t="s">
        <v>194</v>
      </c>
      <c r="D94" s="14" t="s">
        <v>688</v>
      </c>
      <c r="E94" s="14" t="s">
        <v>688</v>
      </c>
      <c r="F94" s="14" t="s">
        <v>194</v>
      </c>
      <c r="G94" s="14" t="s">
        <v>195</v>
      </c>
      <c r="H94" s="15">
        <f>ROUND(SUMPRODUCT(SUMIF(Final!$G$4:$G$330,CashReserveLevy!D94:F94,Final!$C$4:$C$330)),0)</f>
        <v>7405288</v>
      </c>
      <c r="I94" s="15">
        <f t="shared" si="8"/>
        <v>1481058</v>
      </c>
      <c r="J94" s="15">
        <f>ROUND(SUMPRODUCT(SUMIF(Final!$G$4:$G$330,CashReserveLevy!D94:F94,Final!$E$4:$E$330)),0)</f>
        <v>2314839</v>
      </c>
      <c r="K94" s="15">
        <f t="shared" si="9"/>
        <v>0</v>
      </c>
      <c r="L94" s="37">
        <f>INDEX(ActualCRLevy_SAS!$A$2:$D$326,MATCH(CashReserveLevy!$C94,ActualCRLevy_SAS!$B$2:$B$326,0),4)</f>
        <v>0</v>
      </c>
      <c r="M94" s="38" t="str">
        <f t="shared" si="10"/>
        <v/>
      </c>
      <c r="N94" s="17" t="str">
        <f t="shared" si="11"/>
        <v/>
      </c>
      <c r="O94" s="17" t="str">
        <f t="shared" si="14"/>
        <v/>
      </c>
      <c r="Q94" s="36">
        <f t="shared" si="12"/>
        <v>0</v>
      </c>
      <c r="U94" s="37">
        <v>0</v>
      </c>
      <c r="V94" s="36">
        <f t="shared" si="13"/>
        <v>0</v>
      </c>
    </row>
    <row r="95" spans="1:22" x14ac:dyDescent="0.2">
      <c r="A95" s="14">
        <v>2024</v>
      </c>
      <c r="B95" s="14" t="s">
        <v>5</v>
      </c>
      <c r="C95" s="14" t="s">
        <v>196</v>
      </c>
      <c r="D95" s="14" t="s">
        <v>688</v>
      </c>
      <c r="E95" s="14" t="s">
        <v>688</v>
      </c>
      <c r="F95" s="14" t="s">
        <v>196</v>
      </c>
      <c r="G95" s="14" t="s">
        <v>197</v>
      </c>
      <c r="H95" s="15">
        <f>ROUND(SUMPRODUCT(SUMIF(Final!$G$4:$G$330,CashReserveLevy!D95:F95,Final!$C$4:$C$330)),0)</f>
        <v>8033854</v>
      </c>
      <c r="I95" s="15">
        <f t="shared" si="8"/>
        <v>1606771</v>
      </c>
      <c r="J95" s="15">
        <f>ROUND(SUMPRODUCT(SUMIF(Final!$G$4:$G$330,CashReserveLevy!D95:F95,Final!$E$4:$E$330)),0)</f>
        <v>1515695</v>
      </c>
      <c r="K95" s="15">
        <f t="shared" si="9"/>
        <v>91076</v>
      </c>
      <c r="L95" s="37">
        <f>INDEX(ActualCRLevy_SAS!$A$2:$D$326,MATCH(CashReserveLevy!$C95,ActualCRLevy_SAS!$B$2:$B$326,0),4)</f>
        <v>91076</v>
      </c>
      <c r="M95" s="38" t="str">
        <f t="shared" si="10"/>
        <v>Max</v>
      </c>
      <c r="N95" s="17" t="str">
        <f t="shared" si="11"/>
        <v/>
      </c>
      <c r="O95" s="17" t="str">
        <f t="shared" si="14"/>
        <v/>
      </c>
      <c r="Q95" s="36">
        <f t="shared" si="12"/>
        <v>0</v>
      </c>
      <c r="U95" s="37">
        <v>91076</v>
      </c>
      <c r="V95" s="36">
        <f t="shared" si="13"/>
        <v>0</v>
      </c>
    </row>
    <row r="96" spans="1:22" x14ac:dyDescent="0.2">
      <c r="A96" s="14">
        <v>2024</v>
      </c>
      <c r="B96" s="14" t="s">
        <v>5</v>
      </c>
      <c r="C96" s="14" t="s">
        <v>198</v>
      </c>
      <c r="D96" s="14" t="s">
        <v>688</v>
      </c>
      <c r="E96" s="14" t="s">
        <v>688</v>
      </c>
      <c r="F96" s="14" t="s">
        <v>199</v>
      </c>
      <c r="G96" s="14" t="s">
        <v>200</v>
      </c>
      <c r="H96" s="15">
        <f>ROUND(SUMPRODUCT(SUMIF(Final!$G$4:$G$330,CashReserveLevy!D96:F96,Final!$C$4:$C$330)),0)</f>
        <v>8862121</v>
      </c>
      <c r="I96" s="15">
        <f t="shared" si="8"/>
        <v>1772424</v>
      </c>
      <c r="J96" s="15">
        <f>ROUND(SUMPRODUCT(SUMIF(Final!$G$4:$G$330,CashReserveLevy!D96:F96,Final!$E$4:$E$330)),0)</f>
        <v>3231326</v>
      </c>
      <c r="K96" s="15">
        <f t="shared" si="9"/>
        <v>0</v>
      </c>
      <c r="L96" s="37">
        <f>INDEX(ActualCRLevy_SAS!$A$2:$D$326,MATCH(CashReserveLevy!$C96,ActualCRLevy_SAS!$B$2:$B$326,0),4)</f>
        <v>0</v>
      </c>
      <c r="M96" s="38" t="str">
        <f t="shared" si="10"/>
        <v/>
      </c>
      <c r="N96" s="17" t="str">
        <f t="shared" si="11"/>
        <v/>
      </c>
      <c r="O96" s="17" t="str">
        <f t="shared" si="14"/>
        <v/>
      </c>
      <c r="Q96" s="36">
        <f t="shared" si="12"/>
        <v>0</v>
      </c>
      <c r="U96" s="37">
        <v>0</v>
      </c>
      <c r="V96" s="36">
        <f t="shared" si="13"/>
        <v>0</v>
      </c>
    </row>
    <row r="97" spans="1:22" x14ac:dyDescent="0.2">
      <c r="A97" s="14">
        <v>2024</v>
      </c>
      <c r="B97" s="14" t="s">
        <v>8</v>
      </c>
      <c r="C97" s="14" t="s">
        <v>201</v>
      </c>
      <c r="D97" s="14" t="s">
        <v>688</v>
      </c>
      <c r="E97" s="14" t="s">
        <v>688</v>
      </c>
      <c r="F97" s="14" t="s">
        <v>201</v>
      </c>
      <c r="G97" s="14" t="s">
        <v>202</v>
      </c>
      <c r="H97" s="15">
        <f>ROUND(SUMPRODUCT(SUMIF(Final!$G$4:$G$330,CashReserveLevy!D97:F97,Final!$C$4:$C$330)),0)</f>
        <v>7377866</v>
      </c>
      <c r="I97" s="15">
        <f t="shared" si="8"/>
        <v>1475573</v>
      </c>
      <c r="J97" s="15">
        <f>ROUND(SUMPRODUCT(SUMIF(Final!$G$4:$G$330,CashReserveLevy!D97:F97,Final!$E$4:$E$330)),0)</f>
        <v>4183977</v>
      </c>
      <c r="K97" s="15">
        <f t="shared" si="9"/>
        <v>0</v>
      </c>
      <c r="L97" s="37">
        <f>INDEX(ActualCRLevy_SAS!$A$2:$D$326,MATCH(CashReserveLevy!$C97,ActualCRLevy_SAS!$B$2:$B$326,0),4)</f>
        <v>0</v>
      </c>
      <c r="M97" s="38" t="str">
        <f t="shared" si="10"/>
        <v/>
      </c>
      <c r="N97" s="17" t="str">
        <f t="shared" si="11"/>
        <v/>
      </c>
      <c r="O97" s="17" t="str">
        <f t="shared" si="14"/>
        <v/>
      </c>
      <c r="Q97" s="36">
        <f t="shared" si="12"/>
        <v>0</v>
      </c>
      <c r="U97" s="37">
        <v>0</v>
      </c>
      <c r="V97" s="36">
        <f t="shared" si="13"/>
        <v>0</v>
      </c>
    </row>
    <row r="98" spans="1:22" x14ac:dyDescent="0.2">
      <c r="A98" s="14">
        <v>2024</v>
      </c>
      <c r="B98" s="14" t="s">
        <v>14</v>
      </c>
      <c r="C98" s="14" t="s">
        <v>203</v>
      </c>
      <c r="D98" s="14" t="s">
        <v>688</v>
      </c>
      <c r="E98" s="14" t="s">
        <v>688</v>
      </c>
      <c r="F98" s="14" t="s">
        <v>203</v>
      </c>
      <c r="G98" s="14" t="s">
        <v>204</v>
      </c>
      <c r="H98" s="15">
        <f>ROUND(SUMPRODUCT(SUMIF(Final!$G$4:$G$330,CashReserveLevy!D98:F98,Final!$C$4:$C$330)),0)</f>
        <v>10593508</v>
      </c>
      <c r="I98" s="15">
        <f t="shared" si="8"/>
        <v>2118702</v>
      </c>
      <c r="J98" s="15">
        <f>ROUND(SUMPRODUCT(SUMIF(Final!$G$4:$G$330,CashReserveLevy!D98:F98,Final!$E$4:$E$330)),0)</f>
        <v>1164083</v>
      </c>
      <c r="K98" s="15">
        <f t="shared" si="9"/>
        <v>954619</v>
      </c>
      <c r="L98" s="37">
        <f>INDEX(ActualCRLevy_SAS!$A$2:$D$326,MATCH(CashReserveLevy!$C98,ActualCRLevy_SAS!$B$2:$B$326,0),4)</f>
        <v>354507</v>
      </c>
      <c r="M98" s="38" t="str">
        <f t="shared" si="10"/>
        <v/>
      </c>
      <c r="N98" s="17" t="str">
        <f t="shared" si="11"/>
        <v/>
      </c>
      <c r="O98" s="17" t="str">
        <f t="shared" si="14"/>
        <v/>
      </c>
      <c r="Q98" s="36">
        <f t="shared" si="12"/>
        <v>600112</v>
      </c>
      <c r="U98" s="37">
        <v>954619</v>
      </c>
      <c r="V98" s="36">
        <f t="shared" si="13"/>
        <v>0</v>
      </c>
    </row>
    <row r="99" spans="1:22" x14ac:dyDescent="0.2">
      <c r="A99" s="14">
        <v>2024</v>
      </c>
      <c r="B99" s="14" t="s">
        <v>8</v>
      </c>
      <c r="C99" s="14" t="s">
        <v>205</v>
      </c>
      <c r="D99" s="14" t="s">
        <v>688</v>
      </c>
      <c r="E99" s="14" t="s">
        <v>688</v>
      </c>
      <c r="F99" s="14" t="s">
        <v>205</v>
      </c>
      <c r="G99" s="14" t="s">
        <v>206</v>
      </c>
      <c r="H99" s="15">
        <f>ROUND(SUMPRODUCT(SUMIF(Final!$G$4:$G$330,CashReserveLevy!D99:F99,Final!$C$4:$C$330)),0)</f>
        <v>8259307</v>
      </c>
      <c r="I99" s="15">
        <f t="shared" si="8"/>
        <v>1651861</v>
      </c>
      <c r="J99" s="15">
        <f>ROUND(SUMPRODUCT(SUMIF(Final!$G$4:$G$330,CashReserveLevy!D99:F99,Final!$E$4:$E$330)),0)</f>
        <v>1740549</v>
      </c>
      <c r="K99" s="15">
        <f t="shared" si="9"/>
        <v>0</v>
      </c>
      <c r="L99" s="37">
        <f>INDEX(ActualCRLevy_SAS!$A$2:$D$326,MATCH(CashReserveLevy!$C99,ActualCRLevy_SAS!$B$2:$B$326,0),4)</f>
        <v>0</v>
      </c>
      <c r="M99" s="38" t="str">
        <f t="shared" si="10"/>
        <v/>
      </c>
      <c r="N99" s="17" t="str">
        <f t="shared" si="11"/>
        <v/>
      </c>
      <c r="O99" s="17" t="str">
        <f t="shared" si="14"/>
        <v/>
      </c>
      <c r="Q99" s="36">
        <f t="shared" si="12"/>
        <v>0</v>
      </c>
      <c r="U99" s="37">
        <v>0</v>
      </c>
      <c r="V99" s="36">
        <f t="shared" si="13"/>
        <v>0</v>
      </c>
    </row>
    <row r="100" spans="1:22" x14ac:dyDescent="0.2">
      <c r="A100" s="14">
        <v>2024</v>
      </c>
      <c r="B100" s="14" t="s">
        <v>28</v>
      </c>
      <c r="C100" s="14" t="s">
        <v>207</v>
      </c>
      <c r="D100" s="14" t="s">
        <v>688</v>
      </c>
      <c r="E100" s="14" t="s">
        <v>688</v>
      </c>
      <c r="F100" s="14" t="s">
        <v>207</v>
      </c>
      <c r="G100" s="14" t="s">
        <v>208</v>
      </c>
      <c r="H100" s="15">
        <f>ROUND(SUMPRODUCT(SUMIF(Final!$G$4:$G$330,CashReserveLevy!D100:F100,Final!$C$4:$C$330)),0)</f>
        <v>4833489</v>
      </c>
      <c r="I100" s="15">
        <f t="shared" si="8"/>
        <v>966698</v>
      </c>
      <c r="J100" s="15">
        <f>ROUND(SUMPRODUCT(SUMIF(Final!$G$4:$G$330,CashReserveLevy!D100:F100,Final!$E$4:$E$330)),0)</f>
        <v>539459</v>
      </c>
      <c r="K100" s="15">
        <f t="shared" si="9"/>
        <v>427239</v>
      </c>
      <c r="L100" s="37">
        <f>INDEX(ActualCRLevy_SAS!$A$2:$D$326,MATCH(CashReserveLevy!$C100,ActualCRLevy_SAS!$B$2:$B$326,0),4)</f>
        <v>427239</v>
      </c>
      <c r="M100" s="38" t="str">
        <f t="shared" si="10"/>
        <v>Max</v>
      </c>
      <c r="N100" s="17" t="str">
        <f t="shared" si="11"/>
        <v/>
      </c>
      <c r="O100" s="17" t="str">
        <f t="shared" si="14"/>
        <v/>
      </c>
      <c r="Q100" s="36">
        <f t="shared" si="12"/>
        <v>0</v>
      </c>
      <c r="U100" s="37">
        <v>427239</v>
      </c>
      <c r="V100" s="36">
        <f t="shared" si="13"/>
        <v>0</v>
      </c>
    </row>
    <row r="101" spans="1:22" x14ac:dyDescent="0.2">
      <c r="A101" s="14">
        <v>2024</v>
      </c>
      <c r="B101" s="14" t="s">
        <v>37</v>
      </c>
      <c r="C101" s="14" t="s">
        <v>209</v>
      </c>
      <c r="D101" s="14" t="s">
        <v>688</v>
      </c>
      <c r="E101" s="14" t="s">
        <v>688</v>
      </c>
      <c r="F101" s="14" t="s">
        <v>209</v>
      </c>
      <c r="G101" s="14" t="s">
        <v>210</v>
      </c>
      <c r="H101" s="15">
        <f>ROUND(SUMPRODUCT(SUMIF(Final!$G$4:$G$330,CashReserveLevy!D101:F101,Final!$C$4:$C$330)),0)</f>
        <v>7659039</v>
      </c>
      <c r="I101" s="15">
        <f t="shared" si="8"/>
        <v>1531808</v>
      </c>
      <c r="J101" s="15">
        <f>ROUND(SUMPRODUCT(SUMIF(Final!$G$4:$G$330,CashReserveLevy!D101:F101,Final!$E$4:$E$330)),0)</f>
        <v>1742780</v>
      </c>
      <c r="K101" s="15">
        <f t="shared" si="9"/>
        <v>0</v>
      </c>
      <c r="L101" s="37">
        <f>INDEX(ActualCRLevy_SAS!$A$2:$D$326,MATCH(CashReserveLevy!$C101,ActualCRLevy_SAS!$B$2:$B$326,0),4)</f>
        <v>0</v>
      </c>
      <c r="M101" s="38" t="str">
        <f t="shared" si="10"/>
        <v/>
      </c>
      <c r="N101" s="17" t="str">
        <f t="shared" si="11"/>
        <v/>
      </c>
      <c r="O101" s="17" t="str">
        <f t="shared" si="14"/>
        <v/>
      </c>
      <c r="Q101" s="36">
        <f t="shared" si="12"/>
        <v>0</v>
      </c>
      <c r="U101" s="37">
        <v>0</v>
      </c>
      <c r="V101" s="36">
        <f t="shared" si="13"/>
        <v>0</v>
      </c>
    </row>
    <row r="102" spans="1:22" x14ac:dyDescent="0.2">
      <c r="A102" s="14">
        <v>2024</v>
      </c>
      <c r="B102" s="14" t="s">
        <v>17</v>
      </c>
      <c r="C102" s="14" t="s">
        <v>211</v>
      </c>
      <c r="D102" s="14" t="s">
        <v>688</v>
      </c>
      <c r="E102" s="14" t="s">
        <v>688</v>
      </c>
      <c r="F102" s="14" t="s">
        <v>211</v>
      </c>
      <c r="G102" s="14" t="s">
        <v>212</v>
      </c>
      <c r="H102" s="15">
        <f>ROUND(SUMPRODUCT(SUMIF(Final!$G$4:$G$330,CashReserveLevy!D102:F102,Final!$C$4:$C$330)),0)</f>
        <v>12692694</v>
      </c>
      <c r="I102" s="15">
        <f t="shared" si="8"/>
        <v>2538539</v>
      </c>
      <c r="J102" s="15">
        <f>ROUND(SUMPRODUCT(SUMIF(Final!$G$4:$G$330,CashReserveLevy!D102:F102,Final!$E$4:$E$330)),0)</f>
        <v>5555062</v>
      </c>
      <c r="K102" s="15">
        <f t="shared" si="9"/>
        <v>0</v>
      </c>
      <c r="L102" s="37">
        <f>INDEX(ActualCRLevy_SAS!$A$2:$D$326,MATCH(CashReserveLevy!$C102,ActualCRLevy_SAS!$B$2:$B$326,0),4)</f>
        <v>0</v>
      </c>
      <c r="M102" s="38" t="str">
        <f t="shared" si="10"/>
        <v/>
      </c>
      <c r="N102" s="17" t="str">
        <f t="shared" si="11"/>
        <v/>
      </c>
      <c r="O102" s="17" t="str">
        <f t="shared" si="14"/>
        <v/>
      </c>
      <c r="Q102" s="36">
        <f t="shared" si="12"/>
        <v>0</v>
      </c>
      <c r="U102" s="37">
        <v>0</v>
      </c>
      <c r="V102" s="36">
        <f t="shared" si="13"/>
        <v>0</v>
      </c>
    </row>
    <row r="103" spans="1:22" x14ac:dyDescent="0.2">
      <c r="A103" s="14">
        <v>2024</v>
      </c>
      <c r="B103" s="14" t="s">
        <v>28</v>
      </c>
      <c r="C103" s="14" t="s">
        <v>213</v>
      </c>
      <c r="D103" s="14" t="s">
        <v>688</v>
      </c>
      <c r="E103" s="14" t="s">
        <v>688</v>
      </c>
      <c r="F103" s="14" t="s">
        <v>213</v>
      </c>
      <c r="G103" s="14" t="s">
        <v>214</v>
      </c>
      <c r="H103" s="15">
        <f>ROUND(SUMPRODUCT(SUMIF(Final!$G$4:$G$330,CashReserveLevy!D103:F103,Final!$C$4:$C$330)),0)</f>
        <v>6411489</v>
      </c>
      <c r="I103" s="15">
        <f t="shared" si="8"/>
        <v>1282298</v>
      </c>
      <c r="J103" s="15">
        <f>ROUND(SUMPRODUCT(SUMIF(Final!$G$4:$G$330,CashReserveLevy!D103:F103,Final!$E$4:$E$330)),0)</f>
        <v>2550226</v>
      </c>
      <c r="K103" s="15">
        <f t="shared" si="9"/>
        <v>0</v>
      </c>
      <c r="L103" s="37">
        <f>INDEX(ActualCRLevy_SAS!$A$2:$D$326,MATCH(CashReserveLevy!$C103,ActualCRLevy_SAS!$B$2:$B$326,0),4)</f>
        <v>0</v>
      </c>
      <c r="M103" s="38" t="str">
        <f t="shared" si="10"/>
        <v/>
      </c>
      <c r="N103" s="17" t="str">
        <f t="shared" si="11"/>
        <v/>
      </c>
      <c r="O103" s="17" t="str">
        <f t="shared" si="14"/>
        <v/>
      </c>
      <c r="Q103" s="36">
        <f t="shared" si="12"/>
        <v>0</v>
      </c>
      <c r="U103" s="37">
        <v>0</v>
      </c>
      <c r="V103" s="36">
        <f t="shared" si="13"/>
        <v>0</v>
      </c>
    </row>
    <row r="104" spans="1:22" x14ac:dyDescent="0.2">
      <c r="A104" s="14">
        <v>2024</v>
      </c>
      <c r="B104" s="14" t="s">
        <v>5</v>
      </c>
      <c r="C104" s="14" t="s">
        <v>215</v>
      </c>
      <c r="D104" s="14" t="s">
        <v>688</v>
      </c>
      <c r="E104" s="14" t="s">
        <v>688</v>
      </c>
      <c r="F104" s="14" t="s">
        <v>215</v>
      </c>
      <c r="G104" s="14" t="s">
        <v>216</v>
      </c>
      <c r="H104" s="15">
        <f>ROUND(SUMPRODUCT(SUMIF(Final!$G$4:$G$330,CashReserveLevy!D104:F104,Final!$C$4:$C$330)),0)</f>
        <v>9635261</v>
      </c>
      <c r="I104" s="15">
        <f t="shared" si="8"/>
        <v>1927052</v>
      </c>
      <c r="J104" s="15">
        <f>ROUND(SUMPRODUCT(SUMIF(Final!$G$4:$G$330,CashReserveLevy!D104:F104,Final!$E$4:$E$330)),0)</f>
        <v>2699580</v>
      </c>
      <c r="K104" s="15">
        <f t="shared" si="9"/>
        <v>0</v>
      </c>
      <c r="L104" s="37">
        <f>INDEX(ActualCRLevy_SAS!$A$2:$D$326,MATCH(CashReserveLevy!$C104,ActualCRLevy_SAS!$B$2:$B$326,0),4)</f>
        <v>0</v>
      </c>
      <c r="M104" s="38" t="str">
        <f t="shared" si="10"/>
        <v/>
      </c>
      <c r="N104" s="17" t="str">
        <f t="shared" si="11"/>
        <v/>
      </c>
      <c r="O104" s="17" t="str">
        <f t="shared" si="14"/>
        <v/>
      </c>
      <c r="Q104" s="36">
        <f t="shared" si="12"/>
        <v>0</v>
      </c>
      <c r="U104" s="37">
        <v>0</v>
      </c>
      <c r="V104" s="36">
        <f t="shared" si="13"/>
        <v>0</v>
      </c>
    </row>
    <row r="105" spans="1:22" x14ac:dyDescent="0.2">
      <c r="A105" s="14">
        <v>2024</v>
      </c>
      <c r="B105" s="14" t="s">
        <v>14</v>
      </c>
      <c r="C105" s="14" t="s">
        <v>217</v>
      </c>
      <c r="D105" s="14" t="s">
        <v>688</v>
      </c>
      <c r="E105" s="14" t="s">
        <v>688</v>
      </c>
      <c r="F105" s="14" t="s">
        <v>217</v>
      </c>
      <c r="G105" s="14" t="s">
        <v>218</v>
      </c>
      <c r="H105" s="15">
        <f>ROUND(SUMPRODUCT(SUMIF(Final!$G$4:$G$330,CashReserveLevy!D105:F105,Final!$C$4:$C$330)),0)</f>
        <v>9244651</v>
      </c>
      <c r="I105" s="15">
        <f t="shared" si="8"/>
        <v>1848930</v>
      </c>
      <c r="J105" s="15">
        <f>ROUND(SUMPRODUCT(SUMIF(Final!$G$4:$G$330,CashReserveLevy!D105:F105,Final!$E$4:$E$330)),0)</f>
        <v>3146466</v>
      </c>
      <c r="K105" s="15">
        <f t="shared" si="9"/>
        <v>0</v>
      </c>
      <c r="L105" s="37">
        <f>INDEX(ActualCRLevy_SAS!$A$2:$D$326,MATCH(CashReserveLevy!$C105,ActualCRLevy_SAS!$B$2:$B$326,0),4)</f>
        <v>0</v>
      </c>
      <c r="M105" s="38" t="str">
        <f t="shared" si="10"/>
        <v/>
      </c>
      <c r="N105" s="17" t="str">
        <f t="shared" si="11"/>
        <v/>
      </c>
      <c r="O105" s="17" t="str">
        <f t="shared" si="14"/>
        <v/>
      </c>
      <c r="Q105" s="36">
        <f t="shared" si="12"/>
        <v>0</v>
      </c>
      <c r="U105" s="37">
        <v>0</v>
      </c>
      <c r="V105" s="36">
        <f t="shared" si="13"/>
        <v>0</v>
      </c>
    </row>
    <row r="106" spans="1:22" x14ac:dyDescent="0.2">
      <c r="A106" s="14">
        <v>2024</v>
      </c>
      <c r="B106" s="14" t="s">
        <v>20</v>
      </c>
      <c r="C106" s="14" t="s">
        <v>219</v>
      </c>
      <c r="D106" s="14" t="s">
        <v>688</v>
      </c>
      <c r="E106" s="14" t="s">
        <v>688</v>
      </c>
      <c r="F106" s="14" t="s">
        <v>219</v>
      </c>
      <c r="G106" s="14" t="s">
        <v>220</v>
      </c>
      <c r="H106" s="15">
        <f>ROUND(SUMPRODUCT(SUMIF(Final!$G$4:$G$330,CashReserveLevy!D106:F106,Final!$C$4:$C$330)),0)</f>
        <v>6467307</v>
      </c>
      <c r="I106" s="15">
        <f t="shared" si="8"/>
        <v>1293461</v>
      </c>
      <c r="J106" s="15">
        <f>ROUND(SUMPRODUCT(SUMIF(Final!$G$4:$G$330,CashReserveLevy!D106:F106,Final!$E$4:$E$330)),0)</f>
        <v>2193631</v>
      </c>
      <c r="K106" s="15">
        <f t="shared" si="9"/>
        <v>0</v>
      </c>
      <c r="L106" s="37">
        <f>INDEX(ActualCRLevy_SAS!$A$2:$D$326,MATCH(CashReserveLevy!$C106,ActualCRLevy_SAS!$B$2:$B$326,0),4)</f>
        <v>0</v>
      </c>
      <c r="M106" s="38" t="str">
        <f t="shared" si="10"/>
        <v/>
      </c>
      <c r="N106" s="17" t="str">
        <f t="shared" si="11"/>
        <v/>
      </c>
      <c r="O106" s="17" t="str">
        <f t="shared" si="14"/>
        <v/>
      </c>
      <c r="Q106" s="36">
        <f t="shared" si="12"/>
        <v>0</v>
      </c>
      <c r="U106" s="37">
        <v>0</v>
      </c>
      <c r="V106" s="36">
        <f t="shared" si="13"/>
        <v>0</v>
      </c>
    </row>
    <row r="107" spans="1:22" x14ac:dyDescent="0.2">
      <c r="A107" s="14">
        <v>2024</v>
      </c>
      <c r="B107" s="14" t="s">
        <v>8</v>
      </c>
      <c r="C107" s="14" t="s">
        <v>221</v>
      </c>
      <c r="D107" s="14" t="s">
        <v>688</v>
      </c>
      <c r="E107" s="14" t="s">
        <v>688</v>
      </c>
      <c r="F107" s="14" t="s">
        <v>221</v>
      </c>
      <c r="G107" s="14" t="s">
        <v>222</v>
      </c>
      <c r="H107" s="15">
        <f>ROUND(SUMPRODUCT(SUMIF(Final!$G$4:$G$330,CashReserveLevy!D107:F107,Final!$C$4:$C$330)),0)</f>
        <v>3304300</v>
      </c>
      <c r="I107" s="15">
        <f t="shared" si="8"/>
        <v>660860</v>
      </c>
      <c r="J107" s="15">
        <f>ROUND(SUMPRODUCT(SUMIF(Final!$G$4:$G$330,CashReserveLevy!D107:F107,Final!$E$4:$E$330)),0)</f>
        <v>493220</v>
      </c>
      <c r="K107" s="15">
        <f t="shared" si="9"/>
        <v>167640</v>
      </c>
      <c r="L107" s="37">
        <f>INDEX(ActualCRLevy_SAS!$A$2:$D$326,MATCH(CashReserveLevy!$C107,ActualCRLevy_SAS!$B$2:$B$326,0),4)</f>
        <v>167640</v>
      </c>
      <c r="M107" s="38" t="str">
        <f t="shared" si="10"/>
        <v>Max</v>
      </c>
      <c r="N107" s="17" t="str">
        <f t="shared" si="11"/>
        <v/>
      </c>
      <c r="O107" s="17" t="str">
        <f t="shared" si="14"/>
        <v/>
      </c>
      <c r="Q107" s="36">
        <f t="shared" si="12"/>
        <v>0</v>
      </c>
      <c r="U107" s="37">
        <v>167640</v>
      </c>
      <c r="V107" s="36">
        <f t="shared" si="13"/>
        <v>0</v>
      </c>
    </row>
    <row r="108" spans="1:22" x14ac:dyDescent="0.2">
      <c r="A108" s="14">
        <v>2024</v>
      </c>
      <c r="B108" s="14" t="s">
        <v>14</v>
      </c>
      <c r="C108" s="14" t="s">
        <v>223</v>
      </c>
      <c r="D108" s="14" t="s">
        <v>688</v>
      </c>
      <c r="E108" s="14" t="s">
        <v>688</v>
      </c>
      <c r="F108" s="14" t="s">
        <v>223</v>
      </c>
      <c r="G108" s="14" t="s">
        <v>224</v>
      </c>
      <c r="H108" s="15">
        <f>ROUND(SUMPRODUCT(SUMIF(Final!$G$4:$G$330,CashReserveLevy!D108:F108,Final!$C$4:$C$330)),0)</f>
        <v>16213867</v>
      </c>
      <c r="I108" s="15">
        <f t="shared" si="8"/>
        <v>3242773</v>
      </c>
      <c r="J108" s="15">
        <f>ROUND(SUMPRODUCT(SUMIF(Final!$G$4:$G$330,CashReserveLevy!D108:F108,Final!$E$4:$E$330)),0)</f>
        <v>1884536</v>
      </c>
      <c r="K108" s="15">
        <f t="shared" si="9"/>
        <v>1358237</v>
      </c>
      <c r="L108" s="37">
        <f>INDEX(ActualCRLevy_SAS!$A$2:$D$326,MATCH(CashReserveLevy!$C108,ActualCRLevy_SAS!$B$2:$B$326,0),4)</f>
        <v>1066295</v>
      </c>
      <c r="M108" s="38" t="str">
        <f t="shared" si="10"/>
        <v/>
      </c>
      <c r="N108" s="17" t="str">
        <f t="shared" si="11"/>
        <v/>
      </c>
      <c r="O108" s="17" t="str">
        <f t="shared" si="14"/>
        <v/>
      </c>
      <c r="Q108" s="36">
        <f t="shared" si="12"/>
        <v>291942</v>
      </c>
      <c r="U108" s="37">
        <v>1358237</v>
      </c>
      <c r="V108" s="36">
        <f t="shared" si="13"/>
        <v>0</v>
      </c>
    </row>
    <row r="109" spans="1:22" x14ac:dyDescent="0.2">
      <c r="A109" s="14">
        <v>2024</v>
      </c>
      <c r="B109" s="14" t="s">
        <v>0</v>
      </c>
      <c r="C109" s="14" t="s">
        <v>225</v>
      </c>
      <c r="D109" s="14" t="s">
        <v>688</v>
      </c>
      <c r="E109" s="14" t="s">
        <v>688</v>
      </c>
      <c r="F109" s="14" t="s">
        <v>225</v>
      </c>
      <c r="G109" s="14" t="s">
        <v>226</v>
      </c>
      <c r="H109" s="15">
        <f>ROUND(SUMPRODUCT(SUMIF(Final!$G$4:$G$330,CashReserveLevy!D109:F109,Final!$C$4:$C$330)),0)</f>
        <v>5482609</v>
      </c>
      <c r="I109" s="15">
        <f t="shared" si="8"/>
        <v>1096522</v>
      </c>
      <c r="J109" s="15">
        <f>ROUND(SUMPRODUCT(SUMIF(Final!$G$4:$G$330,CashReserveLevy!D109:F109,Final!$E$4:$E$330)),0)</f>
        <v>2279145</v>
      </c>
      <c r="K109" s="15">
        <f t="shared" si="9"/>
        <v>0</v>
      </c>
      <c r="L109" s="37">
        <f>INDEX(ActualCRLevy_SAS!$A$2:$D$326,MATCH(CashReserveLevy!$C109,ActualCRLevy_SAS!$B$2:$B$326,0),4)</f>
        <v>0</v>
      </c>
      <c r="M109" s="38" t="str">
        <f t="shared" si="10"/>
        <v/>
      </c>
      <c r="N109" s="17" t="str">
        <f t="shared" si="11"/>
        <v/>
      </c>
      <c r="O109" s="17" t="str">
        <f t="shared" si="14"/>
        <v/>
      </c>
      <c r="Q109" s="36">
        <f t="shared" si="12"/>
        <v>0</v>
      </c>
      <c r="U109" s="37">
        <v>0</v>
      </c>
      <c r="V109" s="36">
        <f t="shared" si="13"/>
        <v>0</v>
      </c>
    </row>
    <row r="110" spans="1:22" x14ac:dyDescent="0.2">
      <c r="A110" s="14">
        <v>2024</v>
      </c>
      <c r="B110" s="14" t="s">
        <v>17</v>
      </c>
      <c r="C110" s="14" t="s">
        <v>227</v>
      </c>
      <c r="D110" s="14" t="s">
        <v>688</v>
      </c>
      <c r="E110" s="14" t="s">
        <v>688</v>
      </c>
      <c r="F110" s="14" t="s">
        <v>227</v>
      </c>
      <c r="G110" s="14" t="s">
        <v>228</v>
      </c>
      <c r="H110" s="15">
        <f>ROUND(SUMPRODUCT(SUMIF(Final!$G$4:$G$330,CashReserveLevy!D110:F110,Final!$C$4:$C$330)),0)</f>
        <v>22313004</v>
      </c>
      <c r="I110" s="15">
        <f t="shared" si="8"/>
        <v>4462601</v>
      </c>
      <c r="J110" s="15">
        <f>ROUND(SUMPRODUCT(SUMIF(Final!$G$4:$G$330,CashReserveLevy!D110:F110,Final!$E$4:$E$330)),0)</f>
        <v>3576496</v>
      </c>
      <c r="K110" s="15">
        <f t="shared" si="9"/>
        <v>886105</v>
      </c>
      <c r="L110" s="37">
        <f>INDEX(ActualCRLevy_SAS!$A$2:$D$326,MATCH(CashReserveLevy!$C110,ActualCRLevy_SAS!$B$2:$B$326,0),4)</f>
        <v>400000</v>
      </c>
      <c r="M110" s="38" t="str">
        <f t="shared" si="10"/>
        <v/>
      </c>
      <c r="N110" s="17" t="str">
        <f t="shared" si="11"/>
        <v/>
      </c>
      <c r="O110" s="17" t="str">
        <f t="shared" si="14"/>
        <v/>
      </c>
      <c r="Q110" s="36">
        <f t="shared" si="12"/>
        <v>486105</v>
      </c>
      <c r="U110" s="37">
        <v>886105</v>
      </c>
      <c r="V110" s="36">
        <f t="shared" si="13"/>
        <v>0</v>
      </c>
    </row>
    <row r="111" spans="1:22" x14ac:dyDescent="0.2">
      <c r="A111" s="14">
        <v>2024</v>
      </c>
      <c r="B111" s="14" t="s">
        <v>5</v>
      </c>
      <c r="C111" s="14" t="s">
        <v>229</v>
      </c>
      <c r="D111" s="14" t="s">
        <v>688</v>
      </c>
      <c r="E111" s="14" t="s">
        <v>688</v>
      </c>
      <c r="F111" s="14" t="s">
        <v>229</v>
      </c>
      <c r="G111" s="14" t="s">
        <v>230</v>
      </c>
      <c r="H111" s="15">
        <f>ROUND(SUMPRODUCT(SUMIF(Final!$G$4:$G$330,CashReserveLevy!D111:F111,Final!$C$4:$C$330)),0)</f>
        <v>14047188</v>
      </c>
      <c r="I111" s="15">
        <f t="shared" si="8"/>
        <v>2809438</v>
      </c>
      <c r="J111" s="15">
        <f>ROUND(SUMPRODUCT(SUMIF(Final!$G$4:$G$330,CashReserveLevy!D111:F111,Final!$E$4:$E$330)),0)</f>
        <v>3762309</v>
      </c>
      <c r="K111" s="15">
        <f t="shared" si="9"/>
        <v>0</v>
      </c>
      <c r="L111" s="37">
        <f>INDEX(ActualCRLevy_SAS!$A$2:$D$326,MATCH(CashReserveLevy!$C111,ActualCRLevy_SAS!$B$2:$B$326,0),4)</f>
        <v>0</v>
      </c>
      <c r="M111" s="38" t="str">
        <f t="shared" si="10"/>
        <v/>
      </c>
      <c r="N111" s="17" t="str">
        <f t="shared" si="11"/>
        <v/>
      </c>
      <c r="O111" s="17" t="str">
        <f t="shared" si="14"/>
        <v/>
      </c>
      <c r="Q111" s="36">
        <f t="shared" si="12"/>
        <v>0</v>
      </c>
      <c r="U111" s="37">
        <v>0</v>
      </c>
      <c r="V111" s="36">
        <f t="shared" si="13"/>
        <v>0</v>
      </c>
    </row>
    <row r="112" spans="1:22" x14ac:dyDescent="0.2">
      <c r="A112" s="14">
        <v>2024</v>
      </c>
      <c r="B112" s="14" t="s">
        <v>14</v>
      </c>
      <c r="C112" s="14" t="s">
        <v>231</v>
      </c>
      <c r="D112" s="14" t="s">
        <v>688</v>
      </c>
      <c r="E112" s="14" t="s">
        <v>688</v>
      </c>
      <c r="F112" s="14" t="s">
        <v>231</v>
      </c>
      <c r="G112" s="14" t="s">
        <v>232</v>
      </c>
      <c r="H112" s="15">
        <f>ROUND(SUMPRODUCT(SUMIF(Final!$G$4:$G$330,CashReserveLevy!D112:F112,Final!$C$4:$C$330)),0)</f>
        <v>55374672</v>
      </c>
      <c r="I112" s="15">
        <f t="shared" si="8"/>
        <v>11074934</v>
      </c>
      <c r="J112" s="15">
        <f>ROUND(SUMPRODUCT(SUMIF(Final!$G$4:$G$330,CashReserveLevy!D112:F112,Final!$E$4:$E$330)),0)</f>
        <v>8121234</v>
      </c>
      <c r="K112" s="15">
        <f t="shared" si="9"/>
        <v>2953700</v>
      </c>
      <c r="L112" s="37">
        <f>INDEX(ActualCRLevy_SAS!$A$2:$D$326,MATCH(CashReserveLevy!$C112,ActualCRLevy_SAS!$B$2:$B$326,0),4)</f>
        <v>500000</v>
      </c>
      <c r="M112" s="38" t="str">
        <f t="shared" si="10"/>
        <v/>
      </c>
      <c r="N112" s="17" t="str">
        <f t="shared" si="11"/>
        <v/>
      </c>
      <c r="O112" s="17" t="str">
        <f t="shared" si="14"/>
        <v/>
      </c>
      <c r="Q112" s="36">
        <f t="shared" si="12"/>
        <v>2453700</v>
      </c>
      <c r="U112" s="37">
        <v>2953700</v>
      </c>
      <c r="V112" s="36">
        <f t="shared" si="13"/>
        <v>0</v>
      </c>
    </row>
    <row r="113" spans="1:22" x14ac:dyDescent="0.2">
      <c r="A113" s="14">
        <v>2024</v>
      </c>
      <c r="B113" s="14" t="s">
        <v>17</v>
      </c>
      <c r="C113" s="14" t="s">
        <v>233</v>
      </c>
      <c r="D113" s="14" t="s">
        <v>688</v>
      </c>
      <c r="E113" s="14" t="s">
        <v>688</v>
      </c>
      <c r="F113" s="14" t="s">
        <v>233</v>
      </c>
      <c r="G113" s="14" t="s">
        <v>234</v>
      </c>
      <c r="H113" s="15">
        <f>ROUND(SUMPRODUCT(SUMIF(Final!$G$4:$G$330,CashReserveLevy!D113:F113,Final!$C$4:$C$330)),0)</f>
        <v>26726664</v>
      </c>
      <c r="I113" s="15">
        <f t="shared" si="8"/>
        <v>5345333</v>
      </c>
      <c r="J113" s="15">
        <f>ROUND(SUMPRODUCT(SUMIF(Final!$G$4:$G$330,CashReserveLevy!D113:F113,Final!$E$4:$E$330)),0)</f>
        <v>8895807</v>
      </c>
      <c r="K113" s="15">
        <f t="shared" si="9"/>
        <v>0</v>
      </c>
      <c r="L113" s="37">
        <f>INDEX(ActualCRLevy_SAS!$A$2:$D$326,MATCH(CashReserveLevy!$C113,ActualCRLevy_SAS!$B$2:$B$326,0),4)</f>
        <v>0</v>
      </c>
      <c r="M113" s="38" t="str">
        <f t="shared" si="10"/>
        <v/>
      </c>
      <c r="N113" s="17" t="str">
        <f t="shared" si="11"/>
        <v/>
      </c>
      <c r="O113" s="17" t="str">
        <f t="shared" si="14"/>
        <v/>
      </c>
      <c r="Q113" s="36">
        <f t="shared" si="12"/>
        <v>0</v>
      </c>
      <c r="U113" s="37">
        <v>0</v>
      </c>
      <c r="V113" s="36">
        <f t="shared" si="13"/>
        <v>0</v>
      </c>
    </row>
    <row r="114" spans="1:22" x14ac:dyDescent="0.2">
      <c r="A114" s="14">
        <v>2024</v>
      </c>
      <c r="B114" s="14" t="s">
        <v>8</v>
      </c>
      <c r="C114" s="14" t="s">
        <v>235</v>
      </c>
      <c r="D114" s="14" t="s">
        <v>688</v>
      </c>
      <c r="E114" s="14" t="s">
        <v>688</v>
      </c>
      <c r="F114" s="14" t="s">
        <v>235</v>
      </c>
      <c r="G114" s="14" t="s">
        <v>236</v>
      </c>
      <c r="H114" s="15">
        <f>ROUND(SUMPRODUCT(SUMIF(Final!$G$4:$G$330,CashReserveLevy!D114:F114,Final!$C$4:$C$330)),0)</f>
        <v>6106911</v>
      </c>
      <c r="I114" s="15">
        <f t="shared" si="8"/>
        <v>1221382</v>
      </c>
      <c r="J114" s="15">
        <f>ROUND(SUMPRODUCT(SUMIF(Final!$G$4:$G$330,CashReserveLevy!D114:F114,Final!$E$4:$E$330)),0)</f>
        <v>1070874</v>
      </c>
      <c r="K114" s="15">
        <f t="shared" si="9"/>
        <v>150508</v>
      </c>
      <c r="L114" s="37">
        <f>INDEX(ActualCRLevy_SAS!$A$2:$D$326,MATCH(CashReserveLevy!$C114,ActualCRLevy_SAS!$B$2:$B$326,0),4)</f>
        <v>150508</v>
      </c>
      <c r="M114" s="38" t="str">
        <f t="shared" si="10"/>
        <v>Max</v>
      </c>
      <c r="N114" s="17" t="str">
        <f t="shared" si="11"/>
        <v/>
      </c>
      <c r="O114" s="17" t="str">
        <f t="shared" si="14"/>
        <v/>
      </c>
      <c r="Q114" s="36">
        <f t="shared" si="12"/>
        <v>0</v>
      </c>
      <c r="U114" s="37">
        <v>150508</v>
      </c>
      <c r="V114" s="36">
        <f t="shared" si="13"/>
        <v>0</v>
      </c>
    </row>
    <row r="115" spans="1:22" x14ac:dyDescent="0.2">
      <c r="A115" s="14">
        <v>2024</v>
      </c>
      <c r="B115" s="14" t="s">
        <v>11</v>
      </c>
      <c r="C115" s="14" t="s">
        <v>237</v>
      </c>
      <c r="D115" s="14" t="s">
        <v>688</v>
      </c>
      <c r="E115" s="14" t="s">
        <v>688</v>
      </c>
      <c r="F115" s="14" t="s">
        <v>237</v>
      </c>
      <c r="G115" s="14" t="s">
        <v>238</v>
      </c>
      <c r="H115" s="15">
        <f>ROUND(SUMPRODUCT(SUMIF(Final!$G$4:$G$330,CashReserveLevy!D115:F115,Final!$C$4:$C$330)),0)</f>
        <v>7007632</v>
      </c>
      <c r="I115" s="15">
        <f t="shared" si="8"/>
        <v>1401526</v>
      </c>
      <c r="J115" s="15">
        <f>ROUND(SUMPRODUCT(SUMIF(Final!$G$4:$G$330,CashReserveLevy!D115:F115,Final!$E$4:$E$330)),0)</f>
        <v>3457810</v>
      </c>
      <c r="K115" s="15">
        <f t="shared" si="9"/>
        <v>0</v>
      </c>
      <c r="L115" s="37">
        <f>INDEX(ActualCRLevy_SAS!$A$2:$D$326,MATCH(CashReserveLevy!$C115,ActualCRLevy_SAS!$B$2:$B$326,0),4)</f>
        <v>0</v>
      </c>
      <c r="M115" s="38" t="str">
        <f t="shared" si="10"/>
        <v/>
      </c>
      <c r="N115" s="17" t="str">
        <f t="shared" si="11"/>
        <v/>
      </c>
      <c r="O115" s="17" t="str">
        <f t="shared" si="14"/>
        <v/>
      </c>
      <c r="Q115" s="36">
        <f t="shared" si="12"/>
        <v>0</v>
      </c>
      <c r="U115" s="37">
        <v>0</v>
      </c>
      <c r="V115" s="36">
        <f t="shared" si="13"/>
        <v>0</v>
      </c>
    </row>
    <row r="116" spans="1:22" x14ac:dyDescent="0.2">
      <c r="A116" s="14">
        <v>2024</v>
      </c>
      <c r="B116" s="14" t="s">
        <v>5</v>
      </c>
      <c r="C116" s="14" t="s">
        <v>239</v>
      </c>
      <c r="D116" s="14" t="s">
        <v>688</v>
      </c>
      <c r="E116" s="14" t="s">
        <v>688</v>
      </c>
      <c r="F116" s="14" t="s">
        <v>239</v>
      </c>
      <c r="G116" s="14" t="s">
        <v>240</v>
      </c>
      <c r="H116" s="15">
        <f>ROUND(SUMPRODUCT(SUMIF(Final!$G$4:$G$330,CashReserveLevy!D116:F116,Final!$C$4:$C$330)),0)</f>
        <v>11494835</v>
      </c>
      <c r="I116" s="15">
        <f t="shared" si="8"/>
        <v>2298967</v>
      </c>
      <c r="J116" s="15">
        <f>ROUND(SUMPRODUCT(SUMIF(Final!$G$4:$G$330,CashReserveLevy!D116:F116,Final!$E$4:$E$330)),0)</f>
        <v>3215154</v>
      </c>
      <c r="K116" s="15">
        <f t="shared" si="9"/>
        <v>0</v>
      </c>
      <c r="L116" s="37">
        <f>INDEX(ActualCRLevy_SAS!$A$2:$D$326,MATCH(CashReserveLevy!$C116,ActualCRLevy_SAS!$B$2:$B$326,0),4)</f>
        <v>0</v>
      </c>
      <c r="M116" s="38" t="str">
        <f t="shared" si="10"/>
        <v/>
      </c>
      <c r="N116" s="17" t="str">
        <f t="shared" si="11"/>
        <v/>
      </c>
      <c r="O116" s="17" t="str">
        <f t="shared" si="14"/>
        <v/>
      </c>
      <c r="Q116" s="36">
        <f t="shared" si="12"/>
        <v>0</v>
      </c>
      <c r="U116" s="37">
        <v>0</v>
      </c>
      <c r="V116" s="36">
        <f t="shared" si="13"/>
        <v>0</v>
      </c>
    </row>
    <row r="117" spans="1:22" x14ac:dyDescent="0.2">
      <c r="A117" s="14">
        <v>2024</v>
      </c>
      <c r="B117" s="14" t="s">
        <v>11</v>
      </c>
      <c r="C117" s="14" t="s">
        <v>241</v>
      </c>
      <c r="D117" s="14" t="s">
        <v>688</v>
      </c>
      <c r="E117" s="14" t="s">
        <v>688</v>
      </c>
      <c r="F117" s="14" t="s">
        <v>241</v>
      </c>
      <c r="G117" s="14" t="s">
        <v>242</v>
      </c>
      <c r="H117" s="15">
        <f>ROUND(SUMPRODUCT(SUMIF(Final!$G$4:$G$330,CashReserveLevy!D117:F117,Final!$C$4:$C$330)),0)</f>
        <v>5572168</v>
      </c>
      <c r="I117" s="15">
        <f t="shared" si="8"/>
        <v>1114434</v>
      </c>
      <c r="J117" s="15">
        <f>ROUND(SUMPRODUCT(SUMIF(Final!$G$4:$G$330,CashReserveLevy!D117:F117,Final!$E$4:$E$330)),0)</f>
        <v>1963722</v>
      </c>
      <c r="K117" s="15">
        <f t="shared" si="9"/>
        <v>0</v>
      </c>
      <c r="L117" s="37">
        <f>INDEX(ActualCRLevy_SAS!$A$2:$D$326,MATCH(CashReserveLevy!$C117,ActualCRLevy_SAS!$B$2:$B$326,0),4)</f>
        <v>0</v>
      </c>
      <c r="M117" s="38" t="str">
        <f t="shared" si="10"/>
        <v/>
      </c>
      <c r="N117" s="17" t="str">
        <f t="shared" si="11"/>
        <v/>
      </c>
      <c r="O117" s="17" t="str">
        <f t="shared" si="14"/>
        <v/>
      </c>
      <c r="Q117" s="36">
        <f t="shared" si="12"/>
        <v>0</v>
      </c>
      <c r="U117" s="37">
        <v>0</v>
      </c>
      <c r="V117" s="36">
        <f t="shared" si="13"/>
        <v>0</v>
      </c>
    </row>
    <row r="118" spans="1:22" x14ac:dyDescent="0.2">
      <c r="A118" s="14">
        <v>2024</v>
      </c>
      <c r="B118" s="14" t="s">
        <v>0</v>
      </c>
      <c r="C118" s="14" t="s">
        <v>243</v>
      </c>
      <c r="D118" s="14" t="s">
        <v>688</v>
      </c>
      <c r="E118" s="14" t="s">
        <v>688</v>
      </c>
      <c r="F118" s="14" t="s">
        <v>243</v>
      </c>
      <c r="G118" s="14" t="s">
        <v>244</v>
      </c>
      <c r="H118" s="15">
        <f>ROUND(SUMPRODUCT(SUMIF(Final!$G$4:$G$330,CashReserveLevy!D118:F118,Final!$C$4:$C$330)),0)</f>
        <v>18812541</v>
      </c>
      <c r="I118" s="15">
        <f t="shared" si="8"/>
        <v>3762508</v>
      </c>
      <c r="J118" s="15">
        <f>ROUND(SUMPRODUCT(SUMIF(Final!$G$4:$G$330,CashReserveLevy!D118:F118,Final!$E$4:$E$330)),0)</f>
        <v>3646115</v>
      </c>
      <c r="K118" s="15">
        <f t="shared" si="9"/>
        <v>116393</v>
      </c>
      <c r="L118" s="37">
        <f>INDEX(ActualCRLevy_SAS!$A$2:$D$326,MATCH(CashReserveLevy!$C118,ActualCRLevy_SAS!$B$2:$B$326,0),4)</f>
        <v>116393</v>
      </c>
      <c r="M118" s="38" t="str">
        <f t="shared" si="10"/>
        <v>Max</v>
      </c>
      <c r="N118" s="17" t="str">
        <f t="shared" si="11"/>
        <v/>
      </c>
      <c r="O118" s="17" t="str">
        <f t="shared" si="14"/>
        <v/>
      </c>
      <c r="Q118" s="36">
        <f t="shared" si="12"/>
        <v>0</v>
      </c>
      <c r="U118" s="37">
        <v>116393</v>
      </c>
      <c r="V118" s="36">
        <f t="shared" si="13"/>
        <v>0</v>
      </c>
    </row>
    <row r="119" spans="1:22" x14ac:dyDescent="0.2">
      <c r="A119" s="14">
        <v>2024</v>
      </c>
      <c r="B119" s="14" t="s">
        <v>14</v>
      </c>
      <c r="C119" s="14" t="s">
        <v>245</v>
      </c>
      <c r="D119" s="14" t="s">
        <v>688</v>
      </c>
      <c r="E119" s="14" t="s">
        <v>688</v>
      </c>
      <c r="F119" s="14" t="s">
        <v>245</v>
      </c>
      <c r="G119" s="14" t="s">
        <v>246</v>
      </c>
      <c r="H119" s="15">
        <f>ROUND(SUMPRODUCT(SUMIF(Final!$G$4:$G$330,CashReserveLevy!D119:F119,Final!$C$4:$C$330)),0)</f>
        <v>2697350</v>
      </c>
      <c r="I119" s="15">
        <f t="shared" si="8"/>
        <v>539470</v>
      </c>
      <c r="J119" s="15">
        <f>ROUND(SUMPRODUCT(SUMIF(Final!$G$4:$G$330,CashReserveLevy!D119:F119,Final!$E$4:$E$330)),0)</f>
        <v>-421019</v>
      </c>
      <c r="K119" s="15">
        <f t="shared" si="9"/>
        <v>960489</v>
      </c>
      <c r="L119" s="37">
        <f>INDEX(ActualCRLevy_SAS!$A$2:$D$326,MATCH(CashReserveLevy!$C119,ActualCRLevy_SAS!$B$2:$B$326,0),4)</f>
        <v>400000</v>
      </c>
      <c r="M119" s="38" t="str">
        <f t="shared" si="10"/>
        <v/>
      </c>
      <c r="N119" s="17" t="str">
        <f t="shared" si="11"/>
        <v/>
      </c>
      <c r="O119" s="17" t="str">
        <f t="shared" si="14"/>
        <v/>
      </c>
      <c r="Q119" s="36">
        <f t="shared" si="12"/>
        <v>560489</v>
      </c>
      <c r="U119" s="37">
        <v>960489</v>
      </c>
      <c r="V119" s="36">
        <f t="shared" si="13"/>
        <v>0</v>
      </c>
    </row>
    <row r="120" spans="1:22" x14ac:dyDescent="0.2">
      <c r="A120" s="14">
        <v>2024</v>
      </c>
      <c r="B120" s="14" t="s">
        <v>5</v>
      </c>
      <c r="C120" s="14" t="s">
        <v>247</v>
      </c>
      <c r="D120" s="14" t="s">
        <v>688</v>
      </c>
      <c r="E120" s="14" t="s">
        <v>688</v>
      </c>
      <c r="F120" s="14" t="s">
        <v>247</v>
      </c>
      <c r="G120" s="14" t="s">
        <v>248</v>
      </c>
      <c r="H120" s="15">
        <f>ROUND(SUMPRODUCT(SUMIF(Final!$G$4:$G$330,CashReserveLevy!D120:F120,Final!$C$4:$C$330)),0)</f>
        <v>7851185</v>
      </c>
      <c r="I120" s="15">
        <f t="shared" si="8"/>
        <v>1570237</v>
      </c>
      <c r="J120" s="15">
        <f>ROUND(SUMPRODUCT(SUMIF(Final!$G$4:$G$330,CashReserveLevy!D120:F120,Final!$E$4:$E$330)),0)</f>
        <v>1391114</v>
      </c>
      <c r="K120" s="15">
        <f t="shared" si="9"/>
        <v>179123</v>
      </c>
      <c r="L120" s="37">
        <f>INDEX(ActualCRLevy_SAS!$A$2:$D$326,MATCH(CashReserveLevy!$C120,ActualCRLevy_SAS!$B$2:$B$326,0),4)</f>
        <v>179123</v>
      </c>
      <c r="M120" s="38" t="str">
        <f t="shared" si="10"/>
        <v>Max</v>
      </c>
      <c r="N120" s="17" t="str">
        <f t="shared" si="11"/>
        <v/>
      </c>
      <c r="O120" s="17" t="str">
        <f t="shared" si="14"/>
        <v/>
      </c>
      <c r="Q120" s="36">
        <f t="shared" si="12"/>
        <v>0</v>
      </c>
      <c r="U120" s="37">
        <v>179123</v>
      </c>
      <c r="V120" s="36">
        <f t="shared" si="13"/>
        <v>0</v>
      </c>
    </row>
    <row r="121" spans="1:22" x14ac:dyDescent="0.2">
      <c r="A121" s="14">
        <v>2024</v>
      </c>
      <c r="B121" s="14" t="s">
        <v>8</v>
      </c>
      <c r="C121" s="14" t="s">
        <v>249</v>
      </c>
      <c r="D121" s="14" t="s">
        <v>688</v>
      </c>
      <c r="E121" s="14" t="s">
        <v>688</v>
      </c>
      <c r="F121" s="14" t="s">
        <v>249</v>
      </c>
      <c r="G121" s="14" t="s">
        <v>250</v>
      </c>
      <c r="H121" s="15">
        <f>ROUND(SUMPRODUCT(SUMIF(Final!$G$4:$G$330,CashReserveLevy!D121:F121,Final!$C$4:$C$330)),0)</f>
        <v>25214881</v>
      </c>
      <c r="I121" s="15">
        <f t="shared" si="8"/>
        <v>5042976</v>
      </c>
      <c r="J121" s="15">
        <f>ROUND(SUMPRODUCT(SUMIF(Final!$G$4:$G$330,CashReserveLevy!D121:F121,Final!$E$4:$E$330)),0)</f>
        <v>2499046</v>
      </c>
      <c r="K121" s="15">
        <f t="shared" si="9"/>
        <v>2543930</v>
      </c>
      <c r="L121" s="37">
        <f>INDEX(ActualCRLevy_SAS!$A$2:$D$326,MATCH(CashReserveLevy!$C121,ActualCRLevy_SAS!$B$2:$B$326,0),4)</f>
        <v>1005000</v>
      </c>
      <c r="M121" s="38" t="str">
        <f t="shared" si="10"/>
        <v/>
      </c>
      <c r="N121" s="17" t="str">
        <f t="shared" si="11"/>
        <v/>
      </c>
      <c r="O121" s="17" t="str">
        <f t="shared" si="14"/>
        <v/>
      </c>
      <c r="Q121" s="36">
        <f t="shared" si="12"/>
        <v>1538930</v>
      </c>
      <c r="U121" s="37">
        <v>2543930</v>
      </c>
      <c r="V121" s="36">
        <f t="shared" si="13"/>
        <v>0</v>
      </c>
    </row>
    <row r="122" spans="1:22" x14ac:dyDescent="0.2">
      <c r="A122" s="14">
        <v>2024</v>
      </c>
      <c r="B122" s="14" t="s">
        <v>0</v>
      </c>
      <c r="C122" s="14" t="s">
        <v>251</v>
      </c>
      <c r="D122" s="14" t="s">
        <v>688</v>
      </c>
      <c r="E122" s="14" t="s">
        <v>688</v>
      </c>
      <c r="F122" s="14" t="s">
        <v>251</v>
      </c>
      <c r="G122" s="14" t="s">
        <v>252</v>
      </c>
      <c r="H122" s="15">
        <f>ROUND(SUMPRODUCT(SUMIF(Final!$G$4:$G$330,CashReserveLevy!D122:F122,Final!$C$4:$C$330)),0)</f>
        <v>4356153</v>
      </c>
      <c r="I122" s="15">
        <f t="shared" si="8"/>
        <v>871231</v>
      </c>
      <c r="J122" s="15">
        <f>ROUND(SUMPRODUCT(SUMIF(Final!$G$4:$G$330,CashReserveLevy!D122:F122,Final!$E$4:$E$330)),0)</f>
        <v>1042707</v>
      </c>
      <c r="K122" s="15">
        <f t="shared" si="9"/>
        <v>0</v>
      </c>
      <c r="L122" s="37">
        <f>INDEX(ActualCRLevy_SAS!$A$2:$D$326,MATCH(CashReserveLevy!$C122,ActualCRLevy_SAS!$B$2:$B$326,0),4)</f>
        <v>0</v>
      </c>
      <c r="M122" s="38" t="str">
        <f t="shared" si="10"/>
        <v/>
      </c>
      <c r="N122" s="17" t="str">
        <f t="shared" si="11"/>
        <v/>
      </c>
      <c r="O122" s="17" t="str">
        <f t="shared" si="14"/>
        <v/>
      </c>
      <c r="Q122" s="36">
        <f t="shared" si="12"/>
        <v>0</v>
      </c>
      <c r="U122" s="37">
        <v>0</v>
      </c>
      <c r="V122" s="36">
        <f t="shared" si="13"/>
        <v>0</v>
      </c>
    </row>
    <row r="123" spans="1:22" x14ac:dyDescent="0.2">
      <c r="A123" s="14">
        <v>2024</v>
      </c>
      <c r="B123" s="14" t="s">
        <v>5</v>
      </c>
      <c r="C123" s="14" t="s">
        <v>253</v>
      </c>
      <c r="D123" s="14" t="s">
        <v>688</v>
      </c>
      <c r="E123" s="14" t="s">
        <v>688</v>
      </c>
      <c r="F123" s="14" t="s">
        <v>253</v>
      </c>
      <c r="G123" s="14" t="s">
        <v>254</v>
      </c>
      <c r="H123" s="15">
        <f>ROUND(SUMPRODUCT(SUMIF(Final!$G$4:$G$330,CashReserveLevy!D123:F123,Final!$C$4:$C$330)),0)</f>
        <v>6030871</v>
      </c>
      <c r="I123" s="15">
        <f t="shared" si="8"/>
        <v>1206174</v>
      </c>
      <c r="J123" s="15">
        <f>ROUND(SUMPRODUCT(SUMIF(Final!$G$4:$G$330,CashReserveLevy!D123:F123,Final!$E$4:$E$330)),0)</f>
        <v>1589793</v>
      </c>
      <c r="K123" s="15">
        <f t="shared" si="9"/>
        <v>0</v>
      </c>
      <c r="L123" s="37">
        <f>INDEX(ActualCRLevy_SAS!$A$2:$D$326,MATCH(CashReserveLevy!$C123,ActualCRLevy_SAS!$B$2:$B$326,0),4)</f>
        <v>0</v>
      </c>
      <c r="M123" s="38" t="str">
        <f t="shared" si="10"/>
        <v/>
      </c>
      <c r="N123" s="17" t="str">
        <f t="shared" si="11"/>
        <v/>
      </c>
      <c r="O123" s="17" t="str">
        <f t="shared" si="14"/>
        <v/>
      </c>
      <c r="Q123" s="36">
        <f t="shared" si="12"/>
        <v>0</v>
      </c>
      <c r="U123" s="37">
        <v>0</v>
      </c>
      <c r="V123" s="36">
        <f t="shared" si="13"/>
        <v>0</v>
      </c>
    </row>
    <row r="124" spans="1:22" x14ac:dyDescent="0.2">
      <c r="A124" s="14">
        <v>2024</v>
      </c>
      <c r="B124" s="14" t="s">
        <v>14</v>
      </c>
      <c r="C124" s="14" t="s">
        <v>255</v>
      </c>
      <c r="D124" s="14" t="s">
        <v>688</v>
      </c>
      <c r="E124" s="14" t="s">
        <v>688</v>
      </c>
      <c r="F124" s="14" t="s">
        <v>255</v>
      </c>
      <c r="G124" s="14" t="s">
        <v>256</v>
      </c>
      <c r="H124" s="15">
        <f>ROUND(SUMPRODUCT(SUMIF(Final!$G$4:$G$330,CashReserveLevy!D124:F124,Final!$C$4:$C$330)),0)</f>
        <v>5783644</v>
      </c>
      <c r="I124" s="15">
        <f t="shared" si="8"/>
        <v>1156729</v>
      </c>
      <c r="J124" s="15">
        <f>ROUND(SUMPRODUCT(SUMIF(Final!$G$4:$G$330,CashReserveLevy!D124:F124,Final!$E$4:$E$330)),0)</f>
        <v>-1107147</v>
      </c>
      <c r="K124" s="15">
        <f t="shared" si="9"/>
        <v>2263876</v>
      </c>
      <c r="L124" s="37">
        <f>INDEX(ActualCRLevy_SAS!$A$2:$D$326,MATCH(CashReserveLevy!$C124,ActualCRLevy_SAS!$B$2:$B$326,0),4)</f>
        <v>315000</v>
      </c>
      <c r="M124" s="38" t="str">
        <f t="shared" si="10"/>
        <v/>
      </c>
      <c r="N124" s="17" t="str">
        <f t="shared" si="11"/>
        <v/>
      </c>
      <c r="O124" s="17" t="str">
        <f t="shared" si="14"/>
        <v/>
      </c>
      <c r="Q124" s="36">
        <f t="shared" si="12"/>
        <v>1948876</v>
      </c>
      <c r="U124" s="37">
        <v>2263876</v>
      </c>
      <c r="V124" s="36">
        <f t="shared" si="13"/>
        <v>0</v>
      </c>
    </row>
    <row r="125" spans="1:22" x14ac:dyDescent="0.2">
      <c r="A125" s="14">
        <v>2024</v>
      </c>
      <c r="B125" s="14" t="s">
        <v>14</v>
      </c>
      <c r="C125" s="14" t="s">
        <v>257</v>
      </c>
      <c r="D125" s="14" t="s">
        <v>688</v>
      </c>
      <c r="E125" s="14" t="s">
        <v>688</v>
      </c>
      <c r="F125" s="14" t="s">
        <v>257</v>
      </c>
      <c r="G125" s="14" t="s">
        <v>258</v>
      </c>
      <c r="H125" s="15">
        <f>ROUND(SUMPRODUCT(SUMIF(Final!$G$4:$G$330,CashReserveLevy!D125:F125,Final!$C$4:$C$330)),0)</f>
        <v>17558451</v>
      </c>
      <c r="I125" s="15">
        <f t="shared" si="8"/>
        <v>3511690</v>
      </c>
      <c r="J125" s="15">
        <f>ROUND(SUMPRODUCT(SUMIF(Final!$G$4:$G$330,CashReserveLevy!D125:F125,Final!$E$4:$E$330)),0)</f>
        <v>2129555</v>
      </c>
      <c r="K125" s="15">
        <f t="shared" si="9"/>
        <v>1382135</v>
      </c>
      <c r="L125" s="37">
        <f>INDEX(ActualCRLevy_SAS!$A$2:$D$326,MATCH(CashReserveLevy!$C125,ActualCRLevy_SAS!$B$2:$B$326,0),4)</f>
        <v>1000000</v>
      </c>
      <c r="M125" s="38" t="str">
        <f t="shared" si="10"/>
        <v/>
      </c>
      <c r="N125" s="17" t="str">
        <f t="shared" si="11"/>
        <v/>
      </c>
      <c r="O125" s="17" t="str">
        <f t="shared" si="14"/>
        <v/>
      </c>
      <c r="Q125" s="36">
        <f t="shared" si="12"/>
        <v>382135</v>
      </c>
      <c r="U125" s="37">
        <v>1382135</v>
      </c>
      <c r="V125" s="36">
        <f t="shared" si="13"/>
        <v>0</v>
      </c>
    </row>
    <row r="126" spans="1:22" x14ac:dyDescent="0.2">
      <c r="A126" s="14">
        <v>2024</v>
      </c>
      <c r="B126" s="14" t="s">
        <v>5</v>
      </c>
      <c r="C126" s="14" t="s">
        <v>259</v>
      </c>
      <c r="D126" s="14" t="s">
        <v>688</v>
      </c>
      <c r="E126" s="14" t="s">
        <v>688</v>
      </c>
      <c r="F126" s="14" t="s">
        <v>259</v>
      </c>
      <c r="G126" s="14" t="s">
        <v>260</v>
      </c>
      <c r="H126" s="15">
        <f>ROUND(SUMPRODUCT(SUMIF(Final!$G$4:$G$330,CashReserveLevy!D126:F126,Final!$C$4:$C$330)),0)</f>
        <v>21124388</v>
      </c>
      <c r="I126" s="15">
        <f t="shared" si="8"/>
        <v>4224878</v>
      </c>
      <c r="J126" s="15">
        <f>ROUND(SUMPRODUCT(SUMIF(Final!$G$4:$G$330,CashReserveLevy!D126:F126,Final!$E$4:$E$330)),0)</f>
        <v>3588149</v>
      </c>
      <c r="K126" s="15">
        <f t="shared" si="9"/>
        <v>636729</v>
      </c>
      <c r="L126" s="37">
        <f>INDEX(ActualCRLevy_SAS!$A$2:$D$326,MATCH(CashReserveLevy!$C126,ActualCRLevy_SAS!$B$2:$B$326,0),4)</f>
        <v>636729</v>
      </c>
      <c r="M126" s="38" t="str">
        <f t="shared" si="10"/>
        <v>Max</v>
      </c>
      <c r="N126" s="17" t="str">
        <f t="shared" si="11"/>
        <v/>
      </c>
      <c r="O126" s="17" t="str">
        <f t="shared" si="14"/>
        <v/>
      </c>
      <c r="Q126" s="36">
        <f t="shared" si="12"/>
        <v>0</v>
      </c>
      <c r="U126" s="37">
        <v>636729</v>
      </c>
      <c r="V126" s="36">
        <f t="shared" si="13"/>
        <v>0</v>
      </c>
    </row>
    <row r="127" spans="1:22" x14ac:dyDescent="0.2">
      <c r="A127" s="14">
        <v>2024</v>
      </c>
      <c r="B127" s="14" t="s">
        <v>8</v>
      </c>
      <c r="C127" s="14" t="s">
        <v>261</v>
      </c>
      <c r="D127" s="14" t="s">
        <v>688</v>
      </c>
      <c r="E127" s="14" t="s">
        <v>688</v>
      </c>
      <c r="F127" s="14" t="s">
        <v>261</v>
      </c>
      <c r="G127" s="14" t="s">
        <v>262</v>
      </c>
      <c r="H127" s="15">
        <f>ROUND(SUMPRODUCT(SUMIF(Final!$G$4:$G$330,CashReserveLevy!D127:F127,Final!$C$4:$C$330)),0)</f>
        <v>6515965</v>
      </c>
      <c r="I127" s="15">
        <f t="shared" si="8"/>
        <v>1303193</v>
      </c>
      <c r="J127" s="15">
        <f>ROUND(SUMPRODUCT(SUMIF(Final!$G$4:$G$330,CashReserveLevy!D127:F127,Final!$E$4:$E$330)),0)</f>
        <v>2416161</v>
      </c>
      <c r="K127" s="15">
        <f t="shared" si="9"/>
        <v>0</v>
      </c>
      <c r="L127" s="37">
        <f>INDEX(ActualCRLevy_SAS!$A$2:$D$326,MATCH(CashReserveLevy!$C127,ActualCRLevy_SAS!$B$2:$B$326,0),4)</f>
        <v>0</v>
      </c>
      <c r="M127" s="38" t="str">
        <f t="shared" si="10"/>
        <v/>
      </c>
      <c r="N127" s="17" t="str">
        <f t="shared" si="11"/>
        <v/>
      </c>
      <c r="O127" s="17" t="str">
        <f t="shared" si="14"/>
        <v/>
      </c>
      <c r="Q127" s="36">
        <f t="shared" si="12"/>
        <v>0</v>
      </c>
      <c r="U127" s="37">
        <v>0</v>
      </c>
      <c r="V127" s="36">
        <f t="shared" si="13"/>
        <v>0</v>
      </c>
    </row>
    <row r="128" spans="1:22" x14ac:dyDescent="0.2">
      <c r="A128" s="14">
        <v>2024</v>
      </c>
      <c r="B128" s="14" t="s">
        <v>5</v>
      </c>
      <c r="C128" s="14" t="s">
        <v>263</v>
      </c>
      <c r="D128" s="14" t="s">
        <v>688</v>
      </c>
      <c r="E128" s="14" t="s">
        <v>688</v>
      </c>
      <c r="F128" s="14" t="s">
        <v>263</v>
      </c>
      <c r="G128" s="14" t="s">
        <v>264</v>
      </c>
      <c r="H128" s="15">
        <f>ROUND(SUMPRODUCT(SUMIF(Final!$G$4:$G$330,CashReserveLevy!D128:F128,Final!$C$4:$C$330)),0)</f>
        <v>9227972</v>
      </c>
      <c r="I128" s="15">
        <f t="shared" si="8"/>
        <v>1845594</v>
      </c>
      <c r="J128" s="15">
        <f>ROUND(SUMPRODUCT(SUMIF(Final!$G$4:$G$330,CashReserveLevy!D128:F128,Final!$E$4:$E$330)),0)</f>
        <v>910508</v>
      </c>
      <c r="K128" s="15">
        <f t="shared" si="9"/>
        <v>935086</v>
      </c>
      <c r="L128" s="37">
        <f>INDEX(ActualCRLevy_SAS!$A$2:$D$326,MATCH(CashReserveLevy!$C128,ActualCRLevy_SAS!$B$2:$B$326,0),4)</f>
        <v>735086</v>
      </c>
      <c r="M128" s="38" t="str">
        <f t="shared" si="10"/>
        <v/>
      </c>
      <c r="N128" s="17" t="str">
        <f t="shared" si="11"/>
        <v/>
      </c>
      <c r="O128" s="17" t="str">
        <f t="shared" si="14"/>
        <v/>
      </c>
      <c r="Q128" s="36">
        <f t="shared" si="12"/>
        <v>200000</v>
      </c>
      <c r="U128" s="37">
        <v>935086</v>
      </c>
      <c r="V128" s="36">
        <f t="shared" si="13"/>
        <v>0</v>
      </c>
    </row>
    <row r="129" spans="1:22" x14ac:dyDescent="0.2">
      <c r="A129" s="14">
        <v>2024</v>
      </c>
      <c r="B129" s="14" t="s">
        <v>0</v>
      </c>
      <c r="C129" s="14" t="s">
        <v>265</v>
      </c>
      <c r="D129" s="14" t="s">
        <v>688</v>
      </c>
      <c r="E129" s="14" t="s">
        <v>688</v>
      </c>
      <c r="F129" s="14" t="s">
        <v>265</v>
      </c>
      <c r="G129" s="14" t="s">
        <v>266</v>
      </c>
      <c r="H129" s="15">
        <f>ROUND(SUMPRODUCT(SUMIF(Final!$G$4:$G$330,CashReserveLevy!D129:F129,Final!$C$4:$C$330)),0)</f>
        <v>6928254</v>
      </c>
      <c r="I129" s="15">
        <f t="shared" si="8"/>
        <v>1385651</v>
      </c>
      <c r="J129" s="15">
        <f>ROUND(SUMPRODUCT(SUMIF(Final!$G$4:$G$330,CashReserveLevy!D129:F129,Final!$E$4:$E$330)),0)</f>
        <v>1487950</v>
      </c>
      <c r="K129" s="15">
        <f t="shared" si="9"/>
        <v>0</v>
      </c>
      <c r="L129" s="37">
        <f>INDEX(ActualCRLevy_SAS!$A$2:$D$326,MATCH(CashReserveLevy!$C129,ActualCRLevy_SAS!$B$2:$B$326,0),4)</f>
        <v>0</v>
      </c>
      <c r="M129" s="38" t="str">
        <f t="shared" si="10"/>
        <v/>
      </c>
      <c r="N129" s="17" t="str">
        <f t="shared" si="11"/>
        <v/>
      </c>
      <c r="O129" s="17" t="str">
        <f t="shared" si="14"/>
        <v/>
      </c>
      <c r="Q129" s="36">
        <f t="shared" si="12"/>
        <v>0</v>
      </c>
      <c r="U129" s="37">
        <v>0</v>
      </c>
      <c r="V129" s="36">
        <f t="shared" si="13"/>
        <v>0</v>
      </c>
    </row>
    <row r="130" spans="1:22" x14ac:dyDescent="0.2">
      <c r="A130" s="14">
        <v>2024</v>
      </c>
      <c r="B130" s="14" t="s">
        <v>8</v>
      </c>
      <c r="C130" s="14" t="s">
        <v>267</v>
      </c>
      <c r="D130" s="14" t="s">
        <v>688</v>
      </c>
      <c r="E130" s="14" t="s">
        <v>688</v>
      </c>
      <c r="F130" s="14" t="s">
        <v>267</v>
      </c>
      <c r="G130" s="14" t="s">
        <v>268</v>
      </c>
      <c r="H130" s="15">
        <f>ROUND(SUMPRODUCT(SUMIF(Final!$G$4:$G$330,CashReserveLevy!D130:F130,Final!$C$4:$C$330)),0)</f>
        <v>2846384</v>
      </c>
      <c r="I130" s="15">
        <f t="shared" si="8"/>
        <v>569277</v>
      </c>
      <c r="J130" s="15">
        <f>ROUND(SUMPRODUCT(SUMIF(Final!$G$4:$G$330,CashReserveLevy!D130:F130,Final!$E$4:$E$330)),0)</f>
        <v>1868999</v>
      </c>
      <c r="K130" s="15">
        <f t="shared" si="9"/>
        <v>0</v>
      </c>
      <c r="L130" s="37">
        <f>INDEX(ActualCRLevy_SAS!$A$2:$D$326,MATCH(CashReserveLevy!$C130,ActualCRLevy_SAS!$B$2:$B$326,0),4)</f>
        <v>0</v>
      </c>
      <c r="M130" s="38" t="str">
        <f t="shared" si="10"/>
        <v/>
      </c>
      <c r="N130" s="17" t="str">
        <f t="shared" si="11"/>
        <v/>
      </c>
      <c r="O130" s="17" t="str">
        <f t="shared" si="14"/>
        <v/>
      </c>
      <c r="Q130" s="36">
        <f t="shared" si="12"/>
        <v>0</v>
      </c>
      <c r="U130" s="37">
        <v>0</v>
      </c>
      <c r="V130" s="36">
        <f t="shared" si="13"/>
        <v>0</v>
      </c>
    </row>
    <row r="131" spans="1:22" x14ac:dyDescent="0.2">
      <c r="A131" s="14">
        <v>2024</v>
      </c>
      <c r="B131" s="14" t="s">
        <v>5</v>
      </c>
      <c r="C131" s="14" t="s">
        <v>269</v>
      </c>
      <c r="D131" s="14" t="s">
        <v>688</v>
      </c>
      <c r="E131" s="14" t="s">
        <v>688</v>
      </c>
      <c r="F131" s="14" t="s">
        <v>269</v>
      </c>
      <c r="G131" s="14" t="s">
        <v>270</v>
      </c>
      <c r="H131" s="15">
        <f>ROUND(SUMPRODUCT(SUMIF(Final!$G$4:$G$330,CashReserveLevy!D131:F131,Final!$C$4:$C$330)),0)</f>
        <v>17469458</v>
      </c>
      <c r="I131" s="15">
        <f t="shared" si="8"/>
        <v>3493892</v>
      </c>
      <c r="J131" s="15">
        <f>ROUND(SUMPRODUCT(SUMIF(Final!$G$4:$G$330,CashReserveLevy!D131:F131,Final!$E$4:$E$330)),0)</f>
        <v>1923067</v>
      </c>
      <c r="K131" s="15">
        <f t="shared" si="9"/>
        <v>1570825</v>
      </c>
      <c r="L131" s="37">
        <f>INDEX(ActualCRLevy_SAS!$A$2:$D$326,MATCH(CashReserveLevy!$C131,ActualCRLevy_SAS!$B$2:$B$326,0),4)</f>
        <v>453789</v>
      </c>
      <c r="M131" s="38" t="str">
        <f t="shared" si="10"/>
        <v/>
      </c>
      <c r="N131" s="17" t="str">
        <f t="shared" si="11"/>
        <v/>
      </c>
      <c r="O131" s="17" t="str">
        <f t="shared" si="14"/>
        <v/>
      </c>
      <c r="Q131" s="36">
        <f t="shared" si="12"/>
        <v>1117036</v>
      </c>
      <c r="U131" s="37">
        <v>1570825</v>
      </c>
      <c r="V131" s="36">
        <f t="shared" si="13"/>
        <v>0</v>
      </c>
    </row>
    <row r="132" spans="1:22" x14ac:dyDescent="0.2">
      <c r="A132" s="14">
        <v>2024</v>
      </c>
      <c r="B132" s="14" t="s">
        <v>8</v>
      </c>
      <c r="C132" s="14" t="s">
        <v>271</v>
      </c>
      <c r="D132" s="14" t="s">
        <v>688</v>
      </c>
      <c r="E132" s="14" t="s">
        <v>688</v>
      </c>
      <c r="F132" s="14" t="s">
        <v>271</v>
      </c>
      <c r="G132" s="14" t="s">
        <v>272</v>
      </c>
      <c r="H132" s="15">
        <f>ROUND(SUMPRODUCT(SUMIF(Final!$G$4:$G$330,CashReserveLevy!D132:F132,Final!$C$4:$C$330)),0)</f>
        <v>17962859</v>
      </c>
      <c r="I132" s="15">
        <f t="shared" ref="I132:I195" si="15">ROUND(H132*0.2,0)</f>
        <v>3592572</v>
      </c>
      <c r="J132" s="15">
        <f>ROUND(SUMPRODUCT(SUMIF(Final!$G$4:$G$330,CashReserveLevy!D132:F132,Final!$E$4:$E$330)),0)</f>
        <v>3594052</v>
      </c>
      <c r="K132" s="15">
        <f t="shared" ref="K132:K195" si="16">IF(I132&gt;J132,I132-J132,0)</f>
        <v>0</v>
      </c>
      <c r="L132" s="37">
        <f>INDEX(ActualCRLevy_SAS!$A$2:$D$326,MATCH(CashReserveLevy!$C132,ActualCRLevy_SAS!$B$2:$B$326,0),4)</f>
        <v>0</v>
      </c>
      <c r="M132" s="38" t="str">
        <f t="shared" ref="M132:M195" si="17">IF(AND(L132=K132,K132&gt;0),"Max","")</f>
        <v/>
      </c>
      <c r="N132" s="17" t="str">
        <f t="shared" ref="N132:N195" si="18">IF(AND(L132&lt;K132,L132=0),"No Levy but have Capacity","")</f>
        <v/>
      </c>
      <c r="O132" s="17" t="str">
        <f t="shared" si="14"/>
        <v/>
      </c>
      <c r="Q132" s="36">
        <f t="shared" ref="Q132:Q195" si="19">K132-L132</f>
        <v>0</v>
      </c>
      <c r="U132" s="37">
        <v>0</v>
      </c>
      <c r="V132" s="36">
        <f t="shared" ref="V132:V195" si="20">K132-U132</f>
        <v>0</v>
      </c>
    </row>
    <row r="133" spans="1:22" x14ac:dyDescent="0.2">
      <c r="A133" s="14">
        <v>2024</v>
      </c>
      <c r="B133" s="14" t="s">
        <v>14</v>
      </c>
      <c r="C133" s="14" t="s">
        <v>273</v>
      </c>
      <c r="D133" s="14" t="s">
        <v>688</v>
      </c>
      <c r="E133" s="14" t="s">
        <v>688</v>
      </c>
      <c r="F133" s="14" t="s">
        <v>273</v>
      </c>
      <c r="G133" s="14" t="s">
        <v>274</v>
      </c>
      <c r="H133" s="15">
        <f>ROUND(SUMPRODUCT(SUMIF(Final!$G$4:$G$330,CashReserveLevy!D133:F133,Final!$C$4:$C$330)),0)</f>
        <v>4108740</v>
      </c>
      <c r="I133" s="15">
        <f t="shared" si="15"/>
        <v>821748</v>
      </c>
      <c r="J133" s="15">
        <f>ROUND(SUMPRODUCT(SUMIF(Final!$G$4:$G$330,CashReserveLevy!D133:F133,Final!$E$4:$E$330)),0)</f>
        <v>3402806</v>
      </c>
      <c r="K133" s="15">
        <f t="shared" si="16"/>
        <v>0</v>
      </c>
      <c r="L133" s="37">
        <f>INDEX(ActualCRLevy_SAS!$A$2:$D$326,MATCH(CashReserveLevy!$C133,ActualCRLevy_SAS!$B$2:$B$326,0),4)</f>
        <v>0</v>
      </c>
      <c r="M133" s="38" t="str">
        <f t="shared" si="17"/>
        <v/>
      </c>
      <c r="N133" s="17" t="str">
        <f t="shared" si="18"/>
        <v/>
      </c>
      <c r="O133" s="17" t="str">
        <f t="shared" si="14"/>
        <v/>
      </c>
      <c r="Q133" s="36">
        <f t="shared" si="19"/>
        <v>0</v>
      </c>
      <c r="U133" s="37">
        <v>0</v>
      </c>
      <c r="V133" s="36">
        <f t="shared" si="20"/>
        <v>0</v>
      </c>
    </row>
    <row r="134" spans="1:22" x14ac:dyDescent="0.2">
      <c r="A134" s="14">
        <v>2024</v>
      </c>
      <c r="B134" s="14" t="s">
        <v>11</v>
      </c>
      <c r="C134" s="14" t="s">
        <v>275</v>
      </c>
      <c r="D134" s="14" t="s">
        <v>688</v>
      </c>
      <c r="E134" s="14" t="s">
        <v>688</v>
      </c>
      <c r="F134" s="14" t="s">
        <v>275</v>
      </c>
      <c r="G134" s="14" t="s">
        <v>276</v>
      </c>
      <c r="H134" s="15">
        <f>ROUND(SUMPRODUCT(SUMIF(Final!$G$4:$G$330,CashReserveLevy!D134:F134,Final!$C$4:$C$330)),0)</f>
        <v>8743253</v>
      </c>
      <c r="I134" s="15">
        <f t="shared" si="15"/>
        <v>1748651</v>
      </c>
      <c r="J134" s="15">
        <f>ROUND(SUMPRODUCT(SUMIF(Final!$G$4:$G$330,CashReserveLevy!D134:F134,Final!$E$4:$E$330)),0)</f>
        <v>1480461</v>
      </c>
      <c r="K134" s="15">
        <f t="shared" si="16"/>
        <v>268190</v>
      </c>
      <c r="L134" s="37">
        <f>INDEX(ActualCRLevy_SAS!$A$2:$D$326,MATCH(CashReserveLevy!$C134,ActualCRLevy_SAS!$B$2:$B$326,0),4)</f>
        <v>268190</v>
      </c>
      <c r="M134" s="38" t="str">
        <f t="shared" si="17"/>
        <v>Max</v>
      </c>
      <c r="N134" s="17" t="str">
        <f t="shared" si="18"/>
        <v/>
      </c>
      <c r="O134" s="17" t="str">
        <f t="shared" si="14"/>
        <v/>
      </c>
      <c r="Q134" s="36">
        <f t="shared" si="19"/>
        <v>0</v>
      </c>
      <c r="U134" s="37">
        <v>268190</v>
      </c>
      <c r="V134" s="36">
        <f t="shared" si="20"/>
        <v>0</v>
      </c>
    </row>
    <row r="135" spans="1:22" x14ac:dyDescent="0.2">
      <c r="A135" s="14">
        <v>2024</v>
      </c>
      <c r="B135" s="14" t="s">
        <v>20</v>
      </c>
      <c r="C135" s="14" t="s">
        <v>277</v>
      </c>
      <c r="D135" s="14" t="s">
        <v>688</v>
      </c>
      <c r="E135" s="14" t="s">
        <v>688</v>
      </c>
      <c r="F135" s="14" t="s">
        <v>277</v>
      </c>
      <c r="G135" s="14" t="s">
        <v>278</v>
      </c>
      <c r="H135" s="15">
        <f>ROUND(SUMPRODUCT(SUMIF(Final!$G$4:$G$330,CashReserveLevy!D135:F135,Final!$C$4:$C$330)),0)</f>
        <v>8031953</v>
      </c>
      <c r="I135" s="15">
        <f t="shared" si="15"/>
        <v>1606391</v>
      </c>
      <c r="J135" s="15">
        <f>ROUND(SUMPRODUCT(SUMIF(Final!$G$4:$G$330,CashReserveLevy!D135:F135,Final!$E$4:$E$330)),0)</f>
        <v>2057186</v>
      </c>
      <c r="K135" s="15">
        <f t="shared" si="16"/>
        <v>0</v>
      </c>
      <c r="L135" s="37">
        <f>INDEX(ActualCRLevy_SAS!$A$2:$D$326,MATCH(CashReserveLevy!$C135,ActualCRLevy_SAS!$B$2:$B$326,0),4)</f>
        <v>0</v>
      </c>
      <c r="M135" s="38" t="str">
        <f t="shared" si="17"/>
        <v/>
      </c>
      <c r="N135" s="17" t="str">
        <f t="shared" si="18"/>
        <v/>
      </c>
      <c r="O135" s="17" t="str">
        <f t="shared" si="14"/>
        <v/>
      </c>
      <c r="Q135" s="36">
        <f t="shared" si="19"/>
        <v>0</v>
      </c>
      <c r="U135" s="37">
        <v>0</v>
      </c>
      <c r="V135" s="36">
        <f t="shared" si="20"/>
        <v>0</v>
      </c>
    </row>
    <row r="136" spans="1:22" x14ac:dyDescent="0.2">
      <c r="A136" s="14">
        <v>2024</v>
      </c>
      <c r="B136" s="14" t="s">
        <v>11</v>
      </c>
      <c r="C136" s="14" t="s">
        <v>279</v>
      </c>
      <c r="D136" s="14" t="s">
        <v>688</v>
      </c>
      <c r="E136" s="14" t="s">
        <v>688</v>
      </c>
      <c r="F136" s="14" t="s">
        <v>279</v>
      </c>
      <c r="G136" s="14" t="s">
        <v>280</v>
      </c>
      <c r="H136" s="15">
        <f>ROUND(SUMPRODUCT(SUMIF(Final!$G$4:$G$330,CashReserveLevy!D136:F136,Final!$C$4:$C$330)),0)</f>
        <v>8660152</v>
      </c>
      <c r="I136" s="15">
        <f t="shared" si="15"/>
        <v>1732030</v>
      </c>
      <c r="J136" s="15">
        <f>ROUND(SUMPRODUCT(SUMIF(Final!$G$4:$G$330,CashReserveLevy!D136:F136,Final!$E$4:$E$330)),0)</f>
        <v>1789090</v>
      </c>
      <c r="K136" s="15">
        <f t="shared" si="16"/>
        <v>0</v>
      </c>
      <c r="L136" s="37">
        <f>INDEX(ActualCRLevy_SAS!$A$2:$D$326,MATCH(CashReserveLevy!$C136,ActualCRLevy_SAS!$B$2:$B$326,0),4)</f>
        <v>0</v>
      </c>
      <c r="M136" s="38" t="str">
        <f t="shared" si="17"/>
        <v/>
      </c>
      <c r="N136" s="17" t="str">
        <f t="shared" si="18"/>
        <v/>
      </c>
      <c r="O136" s="17" t="str">
        <f t="shared" si="14"/>
        <v/>
      </c>
      <c r="Q136" s="36">
        <f t="shared" si="19"/>
        <v>0</v>
      </c>
      <c r="U136" s="37">
        <v>0</v>
      </c>
      <c r="V136" s="36">
        <f t="shared" si="20"/>
        <v>0</v>
      </c>
    </row>
    <row r="137" spans="1:22" x14ac:dyDescent="0.2">
      <c r="A137" s="14">
        <v>2024</v>
      </c>
      <c r="B137" s="14" t="s">
        <v>20</v>
      </c>
      <c r="C137" s="14" t="s">
        <v>281</v>
      </c>
      <c r="D137" s="14" t="s">
        <v>688</v>
      </c>
      <c r="E137" s="14" t="s">
        <v>688</v>
      </c>
      <c r="F137" s="14" t="s">
        <v>281</v>
      </c>
      <c r="G137" s="14" t="s">
        <v>282</v>
      </c>
      <c r="H137" s="15">
        <f>ROUND(SUMPRODUCT(SUMIF(Final!$G$4:$G$330,CashReserveLevy!D137:F137,Final!$C$4:$C$330)),0)</f>
        <v>4775470</v>
      </c>
      <c r="I137" s="15">
        <f t="shared" si="15"/>
        <v>955094</v>
      </c>
      <c r="J137" s="15">
        <f>ROUND(SUMPRODUCT(SUMIF(Final!$G$4:$G$330,CashReserveLevy!D137:F137,Final!$E$4:$E$330)),0)</f>
        <v>1192545</v>
      </c>
      <c r="K137" s="15">
        <f t="shared" si="16"/>
        <v>0</v>
      </c>
      <c r="L137" s="37">
        <f>INDEX(ActualCRLevy_SAS!$A$2:$D$326,MATCH(CashReserveLevy!$C137,ActualCRLevy_SAS!$B$2:$B$326,0),4)</f>
        <v>0</v>
      </c>
      <c r="M137" s="38" t="str">
        <f t="shared" si="17"/>
        <v/>
      </c>
      <c r="N137" s="17" t="str">
        <f t="shared" si="18"/>
        <v/>
      </c>
      <c r="O137" s="17" t="str">
        <f t="shared" si="14"/>
        <v/>
      </c>
      <c r="Q137" s="36">
        <f t="shared" si="19"/>
        <v>0</v>
      </c>
      <c r="U137" s="37">
        <v>0</v>
      </c>
      <c r="V137" s="36">
        <f t="shared" si="20"/>
        <v>0</v>
      </c>
    </row>
    <row r="138" spans="1:22" x14ac:dyDescent="0.2">
      <c r="A138" s="14">
        <v>2024</v>
      </c>
      <c r="B138" s="14" t="s">
        <v>28</v>
      </c>
      <c r="C138" s="14" t="s">
        <v>283</v>
      </c>
      <c r="D138" s="14" t="s">
        <v>688</v>
      </c>
      <c r="E138" s="14" t="s">
        <v>688</v>
      </c>
      <c r="F138" s="14" t="s">
        <v>283</v>
      </c>
      <c r="G138" s="14" t="s">
        <v>284</v>
      </c>
      <c r="H138" s="15">
        <f>ROUND(SUMPRODUCT(SUMIF(Final!$G$4:$G$330,CashReserveLevy!D138:F138,Final!$C$4:$C$330)),0)</f>
        <v>15871597</v>
      </c>
      <c r="I138" s="15">
        <f t="shared" si="15"/>
        <v>3174319</v>
      </c>
      <c r="J138" s="15">
        <f>ROUND(SUMPRODUCT(SUMIF(Final!$G$4:$G$330,CashReserveLevy!D138:F138,Final!$E$4:$E$330)),0)</f>
        <v>3473992</v>
      </c>
      <c r="K138" s="15">
        <f t="shared" si="16"/>
        <v>0</v>
      </c>
      <c r="L138" s="37">
        <f>INDEX(ActualCRLevy_SAS!$A$2:$D$326,MATCH(CashReserveLevy!$C138,ActualCRLevy_SAS!$B$2:$B$326,0),4)</f>
        <v>0</v>
      </c>
      <c r="M138" s="38" t="str">
        <f t="shared" si="17"/>
        <v/>
      </c>
      <c r="N138" s="17" t="str">
        <f t="shared" si="18"/>
        <v/>
      </c>
      <c r="O138" s="17" t="str">
        <f t="shared" si="14"/>
        <v/>
      </c>
      <c r="Q138" s="36">
        <f t="shared" si="19"/>
        <v>0</v>
      </c>
      <c r="U138" s="37">
        <v>0</v>
      </c>
      <c r="V138" s="36">
        <f t="shared" si="20"/>
        <v>0</v>
      </c>
    </row>
    <row r="139" spans="1:22" x14ac:dyDescent="0.2">
      <c r="A139" s="14">
        <v>2024</v>
      </c>
      <c r="B139" s="14" t="s">
        <v>5</v>
      </c>
      <c r="C139" s="14" t="s">
        <v>285</v>
      </c>
      <c r="D139" s="14" t="s">
        <v>688</v>
      </c>
      <c r="E139" s="14" t="s">
        <v>688</v>
      </c>
      <c r="F139" s="14" t="s">
        <v>285</v>
      </c>
      <c r="G139" s="14" t="s">
        <v>286</v>
      </c>
      <c r="H139" s="15">
        <f>ROUND(SUMPRODUCT(SUMIF(Final!$G$4:$G$330,CashReserveLevy!D139:F139,Final!$C$4:$C$330)),0)</f>
        <v>6724512</v>
      </c>
      <c r="I139" s="15">
        <f t="shared" si="15"/>
        <v>1344902</v>
      </c>
      <c r="J139" s="15">
        <f>ROUND(SUMPRODUCT(SUMIF(Final!$G$4:$G$330,CashReserveLevy!D139:F139,Final!$E$4:$E$330)),0)</f>
        <v>1364293</v>
      </c>
      <c r="K139" s="15">
        <f t="shared" si="16"/>
        <v>0</v>
      </c>
      <c r="L139" s="37">
        <f>INDEX(ActualCRLevy_SAS!$A$2:$D$326,MATCH(CashReserveLevy!$C139,ActualCRLevy_SAS!$B$2:$B$326,0),4)</f>
        <v>0</v>
      </c>
      <c r="M139" s="38" t="str">
        <f t="shared" si="17"/>
        <v/>
      </c>
      <c r="N139" s="17" t="str">
        <f t="shared" si="18"/>
        <v/>
      </c>
      <c r="O139" s="17" t="str">
        <f t="shared" si="14"/>
        <v/>
      </c>
      <c r="Q139" s="36">
        <f t="shared" si="19"/>
        <v>0</v>
      </c>
      <c r="U139" s="37">
        <v>0</v>
      </c>
      <c r="V139" s="36">
        <f t="shared" si="20"/>
        <v>0</v>
      </c>
    </row>
    <row r="140" spans="1:22" x14ac:dyDescent="0.2">
      <c r="A140" s="14">
        <v>2024</v>
      </c>
      <c r="B140" s="14" t="s">
        <v>5</v>
      </c>
      <c r="C140" s="14" t="s">
        <v>287</v>
      </c>
      <c r="D140" s="14" t="s">
        <v>688</v>
      </c>
      <c r="E140" s="14" t="s">
        <v>688</v>
      </c>
      <c r="F140" s="14" t="s">
        <v>287</v>
      </c>
      <c r="G140" s="14" t="s">
        <v>288</v>
      </c>
      <c r="H140" s="15">
        <f>ROUND(SUMPRODUCT(SUMIF(Final!$G$4:$G$330,CashReserveLevy!D140:F140,Final!$C$4:$C$330)),0)</f>
        <v>9283937</v>
      </c>
      <c r="I140" s="15">
        <f t="shared" si="15"/>
        <v>1856787</v>
      </c>
      <c r="J140" s="15">
        <f>ROUND(SUMPRODUCT(SUMIF(Final!$G$4:$G$330,CashReserveLevy!D140:F140,Final!$E$4:$E$330)),0)</f>
        <v>2229203</v>
      </c>
      <c r="K140" s="15">
        <f t="shared" si="16"/>
        <v>0</v>
      </c>
      <c r="L140" s="37">
        <f>INDEX(ActualCRLevy_SAS!$A$2:$D$326,MATCH(CashReserveLevy!$C140,ActualCRLevy_SAS!$B$2:$B$326,0),4)</f>
        <v>0</v>
      </c>
      <c r="M140" s="38" t="str">
        <f t="shared" si="17"/>
        <v/>
      </c>
      <c r="N140" s="17" t="str">
        <f t="shared" si="18"/>
        <v/>
      </c>
      <c r="O140" s="17" t="str">
        <f t="shared" si="14"/>
        <v/>
      </c>
      <c r="Q140" s="36">
        <f t="shared" si="19"/>
        <v>0</v>
      </c>
      <c r="U140" s="37">
        <v>0</v>
      </c>
      <c r="V140" s="36">
        <f t="shared" si="20"/>
        <v>0</v>
      </c>
    </row>
    <row r="141" spans="1:22" x14ac:dyDescent="0.2">
      <c r="A141" s="14">
        <v>2024</v>
      </c>
      <c r="B141" s="14" t="s">
        <v>14</v>
      </c>
      <c r="C141" s="14" t="s">
        <v>289</v>
      </c>
      <c r="D141" s="14" t="s">
        <v>688</v>
      </c>
      <c r="E141" s="14" t="s">
        <v>688</v>
      </c>
      <c r="F141" s="14" t="s">
        <v>289</v>
      </c>
      <c r="G141" s="14" t="s">
        <v>290</v>
      </c>
      <c r="H141" s="15">
        <f>ROUND(SUMPRODUCT(SUMIF(Final!$G$4:$G$330,CashReserveLevy!D141:F141,Final!$C$4:$C$330)),0)</f>
        <v>17690715</v>
      </c>
      <c r="I141" s="15">
        <f t="shared" si="15"/>
        <v>3538143</v>
      </c>
      <c r="J141" s="15">
        <f>ROUND(SUMPRODUCT(SUMIF(Final!$G$4:$G$330,CashReserveLevy!D141:F141,Final!$E$4:$E$330)),0)</f>
        <v>4311882</v>
      </c>
      <c r="K141" s="15">
        <f t="shared" si="16"/>
        <v>0</v>
      </c>
      <c r="L141" s="37">
        <f>INDEX(ActualCRLevy_SAS!$A$2:$D$326,MATCH(CashReserveLevy!$C141,ActualCRLevy_SAS!$B$2:$B$326,0),4)</f>
        <v>0</v>
      </c>
      <c r="M141" s="38" t="str">
        <f t="shared" si="17"/>
        <v/>
      </c>
      <c r="N141" s="17" t="str">
        <f t="shared" si="18"/>
        <v/>
      </c>
      <c r="O141" s="17" t="str">
        <f t="shared" ref="O141:O204" si="21">IF(L141&gt;K141,"Exceedes Maximum Limit","")</f>
        <v/>
      </c>
      <c r="Q141" s="36">
        <f t="shared" si="19"/>
        <v>0</v>
      </c>
      <c r="U141" s="37">
        <v>0</v>
      </c>
      <c r="V141" s="36">
        <f t="shared" si="20"/>
        <v>0</v>
      </c>
    </row>
    <row r="142" spans="1:22" x14ac:dyDescent="0.2">
      <c r="A142" s="14">
        <v>2024</v>
      </c>
      <c r="B142" s="14" t="s">
        <v>8</v>
      </c>
      <c r="C142" s="14" t="s">
        <v>291</v>
      </c>
      <c r="D142" s="14" t="s">
        <v>688</v>
      </c>
      <c r="E142" s="14" t="s">
        <v>688</v>
      </c>
      <c r="F142" s="14" t="s">
        <v>291</v>
      </c>
      <c r="G142" s="14" t="s">
        <v>678</v>
      </c>
      <c r="H142" s="15">
        <f>ROUND(SUMPRODUCT(SUMIF(Final!$G$4:$G$330,CashReserveLevy!D142:F142,Final!$C$4:$C$330)),0)</f>
        <v>9951996</v>
      </c>
      <c r="I142" s="15">
        <f t="shared" si="15"/>
        <v>1990399</v>
      </c>
      <c r="J142" s="15">
        <f>ROUND(SUMPRODUCT(SUMIF(Final!$G$4:$G$330,CashReserveLevy!D142:F142,Final!$E$4:$E$330)),0)</f>
        <v>2144315</v>
      </c>
      <c r="K142" s="15">
        <f t="shared" si="16"/>
        <v>0</v>
      </c>
      <c r="L142" s="37">
        <f>INDEX(ActualCRLevy_SAS!$A$2:$D$326,MATCH(CashReserveLevy!$C142,ActualCRLevy_SAS!$B$2:$B$326,0),4)</f>
        <v>0</v>
      </c>
      <c r="M142" s="38" t="str">
        <f t="shared" si="17"/>
        <v/>
      </c>
      <c r="N142" s="17" t="str">
        <f t="shared" si="18"/>
        <v/>
      </c>
      <c r="O142" s="17" t="str">
        <f t="shared" si="21"/>
        <v/>
      </c>
      <c r="Q142" s="36">
        <f t="shared" si="19"/>
        <v>0</v>
      </c>
      <c r="U142" s="37">
        <v>0</v>
      </c>
      <c r="V142" s="36">
        <f t="shared" si="20"/>
        <v>0</v>
      </c>
    </row>
    <row r="143" spans="1:22" x14ac:dyDescent="0.2">
      <c r="A143" s="14">
        <v>2024</v>
      </c>
      <c r="B143" s="14" t="s">
        <v>5</v>
      </c>
      <c r="C143" s="14" t="s">
        <v>292</v>
      </c>
      <c r="D143" s="14" t="s">
        <v>688</v>
      </c>
      <c r="E143" s="14" t="s">
        <v>688</v>
      </c>
      <c r="F143" s="14" t="s">
        <v>292</v>
      </c>
      <c r="G143" s="14" t="s">
        <v>293</v>
      </c>
      <c r="H143" s="15">
        <f>ROUND(SUMPRODUCT(SUMIF(Final!$G$4:$G$330,CashReserveLevy!D143:F143,Final!$C$4:$C$330)),0)</f>
        <v>18203916</v>
      </c>
      <c r="I143" s="15">
        <f t="shared" si="15"/>
        <v>3640783</v>
      </c>
      <c r="J143" s="15">
        <f>ROUND(SUMPRODUCT(SUMIF(Final!$G$4:$G$330,CashReserveLevy!D143:F143,Final!$E$4:$E$330)),0)</f>
        <v>5189827</v>
      </c>
      <c r="K143" s="15">
        <f t="shared" si="16"/>
        <v>0</v>
      </c>
      <c r="L143" s="37">
        <f>INDEX(ActualCRLevy_SAS!$A$2:$D$326,MATCH(CashReserveLevy!$C143,ActualCRLevy_SAS!$B$2:$B$326,0),4)</f>
        <v>0</v>
      </c>
      <c r="M143" s="38" t="str">
        <f t="shared" si="17"/>
        <v/>
      </c>
      <c r="N143" s="17" t="str">
        <f t="shared" si="18"/>
        <v/>
      </c>
      <c r="O143" s="17" t="str">
        <f t="shared" si="21"/>
        <v/>
      </c>
      <c r="Q143" s="36">
        <f t="shared" si="19"/>
        <v>0</v>
      </c>
      <c r="U143" s="37">
        <v>0</v>
      </c>
      <c r="V143" s="36">
        <f t="shared" si="20"/>
        <v>0</v>
      </c>
    </row>
    <row r="144" spans="1:22" x14ac:dyDescent="0.2">
      <c r="A144" s="14">
        <v>2024</v>
      </c>
      <c r="B144" s="14" t="s">
        <v>0</v>
      </c>
      <c r="C144" s="14" t="s">
        <v>294</v>
      </c>
      <c r="D144" s="14" t="s">
        <v>688</v>
      </c>
      <c r="E144" s="14" t="s">
        <v>688</v>
      </c>
      <c r="F144" s="14" t="s">
        <v>294</v>
      </c>
      <c r="G144" s="14" t="s">
        <v>295</v>
      </c>
      <c r="H144" s="15">
        <f>ROUND(SUMPRODUCT(SUMIF(Final!$G$4:$G$330,CashReserveLevy!D144:F144,Final!$C$4:$C$330)),0)</f>
        <v>42998385</v>
      </c>
      <c r="I144" s="15">
        <f t="shared" si="15"/>
        <v>8599677</v>
      </c>
      <c r="J144" s="15">
        <f>ROUND(SUMPRODUCT(SUMIF(Final!$G$4:$G$330,CashReserveLevy!D144:F144,Final!$E$4:$E$330)),0)</f>
        <v>7268324</v>
      </c>
      <c r="K144" s="15">
        <f t="shared" si="16"/>
        <v>1331353</v>
      </c>
      <c r="L144" s="37">
        <f>INDEX(ActualCRLevy_SAS!$A$2:$D$326,MATCH(CashReserveLevy!$C144,ActualCRLevy_SAS!$B$2:$B$326,0),4)</f>
        <v>900000</v>
      </c>
      <c r="M144" s="38" t="str">
        <f t="shared" si="17"/>
        <v/>
      </c>
      <c r="N144" s="17" t="str">
        <f t="shared" si="18"/>
        <v/>
      </c>
      <c r="O144" s="17" t="str">
        <f t="shared" si="21"/>
        <v/>
      </c>
      <c r="Q144" s="36">
        <f t="shared" si="19"/>
        <v>431353</v>
      </c>
      <c r="U144" s="37">
        <v>1331353</v>
      </c>
      <c r="V144" s="36">
        <f t="shared" si="20"/>
        <v>0</v>
      </c>
    </row>
    <row r="145" spans="1:22" x14ac:dyDescent="0.2">
      <c r="A145" s="14">
        <v>2024</v>
      </c>
      <c r="B145" s="14" t="s">
        <v>0</v>
      </c>
      <c r="C145" s="14" t="s">
        <v>296</v>
      </c>
      <c r="D145" s="14" t="s">
        <v>688</v>
      </c>
      <c r="E145" s="14" t="s">
        <v>688</v>
      </c>
      <c r="F145" s="14" t="s">
        <v>296</v>
      </c>
      <c r="G145" s="14" t="s">
        <v>297</v>
      </c>
      <c r="H145" s="15">
        <f>ROUND(SUMPRODUCT(SUMIF(Final!$G$4:$G$330,CashReserveLevy!D145:F145,Final!$C$4:$C$330)),0)</f>
        <v>11082263</v>
      </c>
      <c r="I145" s="15">
        <f t="shared" si="15"/>
        <v>2216453</v>
      </c>
      <c r="J145" s="15">
        <f>ROUND(SUMPRODUCT(SUMIF(Final!$G$4:$G$330,CashReserveLevy!D145:F145,Final!$E$4:$E$330)),0)</f>
        <v>1771941</v>
      </c>
      <c r="K145" s="15">
        <f t="shared" si="16"/>
        <v>444512</v>
      </c>
      <c r="L145" s="37">
        <f>INDEX(ActualCRLevy_SAS!$A$2:$D$326,MATCH(CashReserveLevy!$C145,ActualCRLevy_SAS!$B$2:$B$326,0),4)</f>
        <v>444512</v>
      </c>
      <c r="M145" s="38" t="str">
        <f t="shared" si="17"/>
        <v>Max</v>
      </c>
      <c r="N145" s="17" t="str">
        <f t="shared" si="18"/>
        <v/>
      </c>
      <c r="O145" s="17" t="str">
        <f t="shared" si="21"/>
        <v/>
      </c>
      <c r="Q145" s="36">
        <f t="shared" si="19"/>
        <v>0</v>
      </c>
      <c r="U145" s="37">
        <v>444512</v>
      </c>
      <c r="V145" s="36">
        <f t="shared" si="20"/>
        <v>0</v>
      </c>
    </row>
    <row r="146" spans="1:22" x14ac:dyDescent="0.2">
      <c r="A146" s="14">
        <v>2024</v>
      </c>
      <c r="B146" s="14" t="s">
        <v>20</v>
      </c>
      <c r="C146" s="14" t="s">
        <v>298</v>
      </c>
      <c r="D146" s="14" t="s">
        <v>688</v>
      </c>
      <c r="E146" s="14" t="s">
        <v>688</v>
      </c>
      <c r="F146" s="14" t="s">
        <v>298</v>
      </c>
      <c r="G146" s="14" t="s">
        <v>299</v>
      </c>
      <c r="H146" s="15">
        <f>ROUND(SUMPRODUCT(SUMIF(Final!$G$4:$G$330,CashReserveLevy!D146:F146,Final!$C$4:$C$330)),0)</f>
        <v>202435544</v>
      </c>
      <c r="I146" s="15">
        <f t="shared" si="15"/>
        <v>40487109</v>
      </c>
      <c r="J146" s="15">
        <f>ROUND(SUMPRODUCT(SUMIF(Final!$G$4:$G$330,CashReserveLevy!D146:F146,Final!$E$4:$E$330)),0)</f>
        <v>5250261</v>
      </c>
      <c r="K146" s="15">
        <f t="shared" si="16"/>
        <v>35236848</v>
      </c>
      <c r="L146" s="37">
        <f>INDEX(ActualCRLevy_SAS!$A$2:$D$326,MATCH(CashReserveLevy!$C146,ActualCRLevy_SAS!$B$2:$B$326,0),4)</f>
        <v>17500000</v>
      </c>
      <c r="M146" s="38" t="str">
        <f t="shared" si="17"/>
        <v/>
      </c>
      <c r="N146" s="17" t="str">
        <f t="shared" si="18"/>
        <v/>
      </c>
      <c r="O146" s="17" t="str">
        <f t="shared" si="21"/>
        <v/>
      </c>
      <c r="Q146" s="36">
        <f t="shared" si="19"/>
        <v>17736848</v>
      </c>
      <c r="U146" s="37">
        <v>35236848</v>
      </c>
      <c r="V146" s="36">
        <f t="shared" si="20"/>
        <v>0</v>
      </c>
    </row>
    <row r="147" spans="1:22" x14ac:dyDescent="0.2">
      <c r="A147" s="14">
        <v>2024</v>
      </c>
      <c r="B147" s="14" t="s">
        <v>5</v>
      </c>
      <c r="C147" s="14" t="s">
        <v>300</v>
      </c>
      <c r="D147" s="14" t="s">
        <v>688</v>
      </c>
      <c r="E147" s="14" t="s">
        <v>688</v>
      </c>
      <c r="F147" s="14" t="s">
        <v>300</v>
      </c>
      <c r="G147" s="14" t="s">
        <v>301</v>
      </c>
      <c r="H147" s="15">
        <f>ROUND(SUMPRODUCT(SUMIF(Final!$G$4:$G$330,CashReserveLevy!D147:F147,Final!$C$4:$C$330)),0)</f>
        <v>15944227</v>
      </c>
      <c r="I147" s="15">
        <f t="shared" si="15"/>
        <v>3188845</v>
      </c>
      <c r="J147" s="15">
        <f>ROUND(SUMPRODUCT(SUMIF(Final!$G$4:$G$330,CashReserveLevy!D147:F147,Final!$E$4:$E$330)),0)</f>
        <v>2425073</v>
      </c>
      <c r="K147" s="15">
        <f t="shared" si="16"/>
        <v>763772</v>
      </c>
      <c r="L147" s="37">
        <f>INDEX(ActualCRLevy_SAS!$A$2:$D$326,MATCH(CashReserveLevy!$C147,ActualCRLevy_SAS!$B$2:$B$326,0),4)</f>
        <v>763772</v>
      </c>
      <c r="M147" s="38" t="str">
        <f t="shared" si="17"/>
        <v>Max</v>
      </c>
      <c r="N147" s="17" t="str">
        <f t="shared" si="18"/>
        <v/>
      </c>
      <c r="O147" s="17" t="str">
        <f t="shared" si="21"/>
        <v/>
      </c>
      <c r="Q147" s="36">
        <f t="shared" si="19"/>
        <v>0</v>
      </c>
      <c r="U147" s="37">
        <v>763772</v>
      </c>
      <c r="V147" s="36">
        <f t="shared" si="20"/>
        <v>0</v>
      </c>
    </row>
    <row r="148" spans="1:22" x14ac:dyDescent="0.2">
      <c r="A148" s="14">
        <v>2024</v>
      </c>
      <c r="B148" s="14" t="s">
        <v>20</v>
      </c>
      <c r="C148" s="14" t="s">
        <v>302</v>
      </c>
      <c r="D148" s="14" t="s">
        <v>688</v>
      </c>
      <c r="E148" s="14" t="s">
        <v>688</v>
      </c>
      <c r="F148" s="14" t="s">
        <v>302</v>
      </c>
      <c r="G148" s="14" t="s">
        <v>303</v>
      </c>
      <c r="H148" s="15">
        <f>ROUND(SUMPRODUCT(SUMIF(Final!$G$4:$G$330,CashReserveLevy!D148:F148,Final!$C$4:$C$330)),0)</f>
        <v>6424558</v>
      </c>
      <c r="I148" s="15">
        <f t="shared" si="15"/>
        <v>1284912</v>
      </c>
      <c r="J148" s="15">
        <f>ROUND(SUMPRODUCT(SUMIF(Final!$G$4:$G$330,CashReserveLevy!D148:F148,Final!$E$4:$E$330)),0)</f>
        <v>1996890</v>
      </c>
      <c r="K148" s="15">
        <f t="shared" si="16"/>
        <v>0</v>
      </c>
      <c r="L148" s="37">
        <f>INDEX(ActualCRLevy_SAS!$A$2:$D$326,MATCH(CashReserveLevy!$C148,ActualCRLevy_SAS!$B$2:$B$326,0),4)</f>
        <v>0</v>
      </c>
      <c r="M148" s="38" t="str">
        <f t="shared" si="17"/>
        <v/>
      </c>
      <c r="N148" s="17" t="str">
        <f t="shared" si="18"/>
        <v/>
      </c>
      <c r="O148" s="17" t="str">
        <f t="shared" si="21"/>
        <v/>
      </c>
      <c r="Q148" s="36">
        <f t="shared" si="19"/>
        <v>0</v>
      </c>
      <c r="U148" s="37">
        <v>0</v>
      </c>
      <c r="V148" s="36">
        <f t="shared" si="20"/>
        <v>0</v>
      </c>
    </row>
    <row r="149" spans="1:22" x14ac:dyDescent="0.2">
      <c r="A149" s="14">
        <v>2024</v>
      </c>
      <c r="B149" s="14" t="s">
        <v>5</v>
      </c>
      <c r="C149" s="14" t="s">
        <v>304</v>
      </c>
      <c r="D149" s="14" t="s">
        <v>688</v>
      </c>
      <c r="E149" s="14" t="s">
        <v>688</v>
      </c>
      <c r="F149" s="14" t="s">
        <v>304</v>
      </c>
      <c r="G149" s="14" t="s">
        <v>305</v>
      </c>
      <c r="H149" s="15">
        <f>ROUND(SUMPRODUCT(SUMIF(Final!$G$4:$G$330,CashReserveLevy!D149:F149,Final!$C$4:$C$330)),0)</f>
        <v>5534765</v>
      </c>
      <c r="I149" s="15">
        <f t="shared" si="15"/>
        <v>1106953</v>
      </c>
      <c r="J149" s="15">
        <f>ROUND(SUMPRODUCT(SUMIF(Final!$G$4:$G$330,CashReserveLevy!D149:F149,Final!$E$4:$E$330)),0)</f>
        <v>1528750</v>
      </c>
      <c r="K149" s="15">
        <f t="shared" si="16"/>
        <v>0</v>
      </c>
      <c r="L149" s="37">
        <f>INDEX(ActualCRLevy_SAS!$A$2:$D$326,MATCH(CashReserveLevy!$C149,ActualCRLevy_SAS!$B$2:$B$326,0),4)</f>
        <v>0</v>
      </c>
      <c r="M149" s="38" t="str">
        <f t="shared" si="17"/>
        <v/>
      </c>
      <c r="N149" s="17" t="str">
        <f t="shared" si="18"/>
        <v/>
      </c>
      <c r="O149" s="17" t="str">
        <f t="shared" si="21"/>
        <v/>
      </c>
      <c r="Q149" s="36">
        <f t="shared" si="19"/>
        <v>0</v>
      </c>
      <c r="U149" s="37">
        <v>0</v>
      </c>
      <c r="V149" s="36">
        <f t="shared" si="20"/>
        <v>0</v>
      </c>
    </row>
    <row r="150" spans="1:22" x14ac:dyDescent="0.2">
      <c r="A150" s="14">
        <v>2024</v>
      </c>
      <c r="B150" s="14" t="s">
        <v>5</v>
      </c>
      <c r="C150" s="14" t="s">
        <v>306</v>
      </c>
      <c r="D150" s="14" t="s">
        <v>688</v>
      </c>
      <c r="E150" s="14" t="s">
        <v>688</v>
      </c>
      <c r="F150" s="14" t="s">
        <v>306</v>
      </c>
      <c r="G150" s="14" t="s">
        <v>307</v>
      </c>
      <c r="H150" s="15">
        <f>ROUND(SUMPRODUCT(SUMIF(Final!$G$4:$G$330,CashReserveLevy!D150:F150,Final!$C$4:$C$330)),0)</f>
        <v>11667780</v>
      </c>
      <c r="I150" s="15">
        <f t="shared" si="15"/>
        <v>2333556</v>
      </c>
      <c r="J150" s="15">
        <f>ROUND(SUMPRODUCT(SUMIF(Final!$G$4:$G$330,CashReserveLevy!D150:F150,Final!$E$4:$E$330)),0)</f>
        <v>1432327</v>
      </c>
      <c r="K150" s="15">
        <f t="shared" si="16"/>
        <v>901229</v>
      </c>
      <c r="L150" s="37">
        <f>INDEX(ActualCRLevy_SAS!$A$2:$D$326,MATCH(CashReserveLevy!$C150,ActualCRLevy_SAS!$B$2:$B$326,0),4)</f>
        <v>435000</v>
      </c>
      <c r="M150" s="38" t="str">
        <f t="shared" si="17"/>
        <v/>
      </c>
      <c r="N150" s="17" t="str">
        <f t="shared" si="18"/>
        <v/>
      </c>
      <c r="O150" s="17" t="str">
        <f t="shared" si="21"/>
        <v/>
      </c>
      <c r="Q150" s="36">
        <f t="shared" si="19"/>
        <v>466229</v>
      </c>
      <c r="U150" s="37">
        <v>901229</v>
      </c>
      <c r="V150" s="36">
        <f t="shared" si="20"/>
        <v>0</v>
      </c>
    </row>
    <row r="151" spans="1:22" x14ac:dyDescent="0.2">
      <c r="A151" s="14">
        <v>2024</v>
      </c>
      <c r="B151" s="14" t="s">
        <v>0</v>
      </c>
      <c r="C151" s="14" t="s">
        <v>308</v>
      </c>
      <c r="D151" s="14" t="s">
        <v>688</v>
      </c>
      <c r="E151" s="14" t="s">
        <v>688</v>
      </c>
      <c r="F151" s="14" t="s">
        <v>308</v>
      </c>
      <c r="G151" s="14" t="s">
        <v>309</v>
      </c>
      <c r="H151" s="15">
        <f>ROUND(SUMPRODUCT(SUMIF(Final!$G$4:$G$330,CashReserveLevy!D151:F151,Final!$C$4:$C$330)),0)</f>
        <v>88285048</v>
      </c>
      <c r="I151" s="15">
        <f t="shared" si="15"/>
        <v>17657010</v>
      </c>
      <c r="J151" s="15">
        <f>ROUND(SUMPRODUCT(SUMIF(Final!$G$4:$G$330,CashReserveLevy!D151:F151,Final!$E$4:$E$330)),0)</f>
        <v>18556483</v>
      </c>
      <c r="K151" s="15">
        <f t="shared" si="16"/>
        <v>0</v>
      </c>
      <c r="L151" s="37">
        <f>INDEX(ActualCRLevy_SAS!$A$2:$D$326,MATCH(CashReserveLevy!$C151,ActualCRLevy_SAS!$B$2:$B$326,0),4)</f>
        <v>0</v>
      </c>
      <c r="M151" s="38" t="str">
        <f t="shared" si="17"/>
        <v/>
      </c>
      <c r="N151" s="17" t="str">
        <f t="shared" si="18"/>
        <v/>
      </c>
      <c r="O151" s="17" t="str">
        <f t="shared" si="21"/>
        <v/>
      </c>
      <c r="Q151" s="36">
        <f t="shared" si="19"/>
        <v>0</v>
      </c>
      <c r="U151" s="37">
        <v>0</v>
      </c>
      <c r="V151" s="36">
        <f t="shared" si="20"/>
        <v>0</v>
      </c>
    </row>
    <row r="152" spans="1:22" x14ac:dyDescent="0.2">
      <c r="A152" s="14">
        <v>2024</v>
      </c>
      <c r="B152" s="14" t="s">
        <v>17</v>
      </c>
      <c r="C152" s="14" t="s">
        <v>310</v>
      </c>
      <c r="D152" s="14" t="s">
        <v>688</v>
      </c>
      <c r="E152" s="14" t="s">
        <v>688</v>
      </c>
      <c r="F152" s="14" t="s">
        <v>310</v>
      </c>
      <c r="G152" s="14" t="s">
        <v>311</v>
      </c>
      <c r="H152" s="15">
        <f>ROUND(SUMPRODUCT(SUMIF(Final!$G$4:$G$330,CashReserveLevy!D152:F152,Final!$C$4:$C$330)),0)</f>
        <v>26191622</v>
      </c>
      <c r="I152" s="15">
        <f t="shared" si="15"/>
        <v>5238324</v>
      </c>
      <c r="J152" s="15">
        <f>ROUND(SUMPRODUCT(SUMIF(Final!$G$4:$G$330,CashReserveLevy!D152:F152,Final!$E$4:$E$330)),0)</f>
        <v>6819815</v>
      </c>
      <c r="K152" s="15">
        <f t="shared" si="16"/>
        <v>0</v>
      </c>
      <c r="L152" s="37">
        <f>INDEX(ActualCRLevy_SAS!$A$2:$D$326,MATCH(CashReserveLevy!$C152,ActualCRLevy_SAS!$B$2:$B$326,0),4)</f>
        <v>0</v>
      </c>
      <c r="M152" s="38" t="str">
        <f t="shared" si="17"/>
        <v/>
      </c>
      <c r="N152" s="17" t="str">
        <f t="shared" si="18"/>
        <v/>
      </c>
      <c r="O152" s="17" t="str">
        <f t="shared" si="21"/>
        <v/>
      </c>
      <c r="Q152" s="36">
        <f t="shared" si="19"/>
        <v>0</v>
      </c>
      <c r="U152" s="37">
        <v>0</v>
      </c>
      <c r="V152" s="36">
        <f t="shared" si="20"/>
        <v>0</v>
      </c>
    </row>
    <row r="153" spans="1:22" x14ac:dyDescent="0.2">
      <c r="A153" s="14">
        <v>2024</v>
      </c>
      <c r="B153" s="14" t="s">
        <v>17</v>
      </c>
      <c r="C153" s="14" t="s">
        <v>312</v>
      </c>
      <c r="D153" s="14" t="s">
        <v>688</v>
      </c>
      <c r="E153" s="14" t="s">
        <v>688</v>
      </c>
      <c r="F153" s="14" t="s">
        <v>312</v>
      </c>
      <c r="G153" s="14" t="s">
        <v>313</v>
      </c>
      <c r="H153" s="15">
        <f>ROUND(SUMPRODUCT(SUMIF(Final!$G$4:$G$330,CashReserveLevy!D153:F153,Final!$C$4:$C$330)),0)</f>
        <v>4373897</v>
      </c>
      <c r="I153" s="15">
        <f t="shared" si="15"/>
        <v>874779</v>
      </c>
      <c r="J153" s="15">
        <f>ROUND(SUMPRODUCT(SUMIF(Final!$G$4:$G$330,CashReserveLevy!D153:F153,Final!$E$4:$E$330)),0)</f>
        <v>645878</v>
      </c>
      <c r="K153" s="15">
        <f t="shared" si="16"/>
        <v>228901</v>
      </c>
      <c r="L153" s="37">
        <f>INDEX(ActualCRLevy_SAS!$A$2:$D$326,MATCH(CashReserveLevy!$C153,ActualCRLevy_SAS!$B$2:$B$326,0),4)</f>
        <v>228901</v>
      </c>
      <c r="M153" s="38" t="str">
        <f t="shared" si="17"/>
        <v>Max</v>
      </c>
      <c r="N153" s="17" t="str">
        <f t="shared" si="18"/>
        <v/>
      </c>
      <c r="O153" s="17" t="str">
        <f t="shared" si="21"/>
        <v/>
      </c>
      <c r="Q153" s="36">
        <f t="shared" si="19"/>
        <v>0</v>
      </c>
      <c r="U153" s="37">
        <v>228901</v>
      </c>
      <c r="V153" s="36">
        <f t="shared" si="20"/>
        <v>0</v>
      </c>
    </row>
    <row r="154" spans="1:22" x14ac:dyDescent="0.2">
      <c r="A154" s="14">
        <v>2024</v>
      </c>
      <c r="B154" s="14" t="s">
        <v>11</v>
      </c>
      <c r="C154" s="14" t="s">
        <v>314</v>
      </c>
      <c r="D154" s="14" t="s">
        <v>688</v>
      </c>
      <c r="E154" s="14" t="s">
        <v>688</v>
      </c>
      <c r="F154" s="14" t="s">
        <v>314</v>
      </c>
      <c r="G154" s="14" t="s">
        <v>315</v>
      </c>
      <c r="H154" s="15">
        <f>ROUND(SUMPRODUCT(SUMIF(Final!$G$4:$G$330,CashReserveLevy!D154:F154,Final!$C$4:$C$330)),0)</f>
        <v>6298407</v>
      </c>
      <c r="I154" s="15">
        <f t="shared" si="15"/>
        <v>1259681</v>
      </c>
      <c r="J154" s="15">
        <f>ROUND(SUMPRODUCT(SUMIF(Final!$G$4:$G$330,CashReserveLevy!D154:F154,Final!$E$4:$E$330)),0)</f>
        <v>1466229</v>
      </c>
      <c r="K154" s="15">
        <f t="shared" si="16"/>
        <v>0</v>
      </c>
      <c r="L154" s="37">
        <f>INDEX(ActualCRLevy_SAS!$A$2:$D$326,MATCH(CashReserveLevy!$C154,ActualCRLevy_SAS!$B$2:$B$326,0),4)</f>
        <v>0</v>
      </c>
      <c r="M154" s="38" t="str">
        <f t="shared" si="17"/>
        <v/>
      </c>
      <c r="N154" s="17" t="str">
        <f t="shared" si="18"/>
        <v/>
      </c>
      <c r="O154" s="17" t="str">
        <f t="shared" si="21"/>
        <v/>
      </c>
      <c r="Q154" s="36">
        <f t="shared" si="19"/>
        <v>0</v>
      </c>
      <c r="U154" s="37">
        <v>0</v>
      </c>
      <c r="V154" s="36">
        <f t="shared" si="20"/>
        <v>0</v>
      </c>
    </row>
    <row r="155" spans="1:22" x14ac:dyDescent="0.2">
      <c r="A155" s="14">
        <v>2024</v>
      </c>
      <c r="B155" s="14" t="s">
        <v>0</v>
      </c>
      <c r="C155" s="14" t="s">
        <v>316</v>
      </c>
      <c r="D155" s="14" t="s">
        <v>688</v>
      </c>
      <c r="E155" s="14" t="s">
        <v>688</v>
      </c>
      <c r="F155" s="14" t="s">
        <v>316</v>
      </c>
      <c r="G155" s="14" t="s">
        <v>317</v>
      </c>
      <c r="H155" s="15">
        <f>ROUND(SUMPRODUCT(SUMIF(Final!$G$4:$G$330,CashReserveLevy!D155:F155,Final!$C$4:$C$330)),0)</f>
        <v>22582005</v>
      </c>
      <c r="I155" s="15">
        <f t="shared" si="15"/>
        <v>4516401</v>
      </c>
      <c r="J155" s="15">
        <f>ROUND(SUMPRODUCT(SUMIF(Final!$G$4:$G$330,CashReserveLevy!D155:F155,Final!$E$4:$E$330)),0)</f>
        <v>3183938</v>
      </c>
      <c r="K155" s="15">
        <f t="shared" si="16"/>
        <v>1332463</v>
      </c>
      <c r="L155" s="37">
        <f>INDEX(ActualCRLevy_SAS!$A$2:$D$326,MATCH(CashReserveLevy!$C155,ActualCRLevy_SAS!$B$2:$B$326,0),4)</f>
        <v>510541</v>
      </c>
      <c r="M155" s="38" t="str">
        <f t="shared" si="17"/>
        <v/>
      </c>
      <c r="N155" s="17" t="str">
        <f t="shared" si="18"/>
        <v/>
      </c>
      <c r="O155" s="17" t="str">
        <f t="shared" si="21"/>
        <v/>
      </c>
      <c r="Q155" s="36">
        <f t="shared" si="19"/>
        <v>821922</v>
      </c>
      <c r="U155" s="37">
        <v>1332463</v>
      </c>
      <c r="V155" s="36">
        <f t="shared" si="20"/>
        <v>0</v>
      </c>
    </row>
    <row r="156" spans="1:22" x14ac:dyDescent="0.2">
      <c r="A156" s="14">
        <v>2024</v>
      </c>
      <c r="B156" s="14" t="s">
        <v>5</v>
      </c>
      <c r="C156" s="14" t="s">
        <v>318</v>
      </c>
      <c r="D156" s="14" t="s">
        <v>688</v>
      </c>
      <c r="E156" s="14" t="s">
        <v>688</v>
      </c>
      <c r="F156" s="14" t="s">
        <v>318</v>
      </c>
      <c r="G156" s="14" t="s">
        <v>319</v>
      </c>
      <c r="H156" s="15">
        <f>ROUND(SUMPRODUCT(SUMIF(Final!$G$4:$G$330,CashReserveLevy!D156:F156,Final!$C$4:$C$330)),0)</f>
        <v>8173434</v>
      </c>
      <c r="I156" s="15">
        <f t="shared" si="15"/>
        <v>1634687</v>
      </c>
      <c r="J156" s="15">
        <f>ROUND(SUMPRODUCT(SUMIF(Final!$G$4:$G$330,CashReserveLevy!D156:F156,Final!$E$4:$E$330)),0)</f>
        <v>2174282</v>
      </c>
      <c r="K156" s="15">
        <f t="shared" si="16"/>
        <v>0</v>
      </c>
      <c r="L156" s="37">
        <f>INDEX(ActualCRLevy_SAS!$A$2:$D$326,MATCH(CashReserveLevy!$C156,ActualCRLevy_SAS!$B$2:$B$326,0),4)</f>
        <v>0</v>
      </c>
      <c r="M156" s="38" t="str">
        <f t="shared" si="17"/>
        <v/>
      </c>
      <c r="N156" s="17" t="str">
        <f t="shared" si="18"/>
        <v/>
      </c>
      <c r="O156" s="17" t="str">
        <f t="shared" si="21"/>
        <v/>
      </c>
      <c r="Q156" s="36">
        <f t="shared" si="19"/>
        <v>0</v>
      </c>
      <c r="U156" s="37">
        <v>0</v>
      </c>
      <c r="V156" s="36">
        <f t="shared" si="20"/>
        <v>0</v>
      </c>
    </row>
    <row r="157" spans="1:22" x14ac:dyDescent="0.2">
      <c r="A157" s="14">
        <v>2024</v>
      </c>
      <c r="B157" s="14" t="s">
        <v>8</v>
      </c>
      <c r="C157" s="14" t="s">
        <v>320</v>
      </c>
      <c r="D157" s="14" t="s">
        <v>688</v>
      </c>
      <c r="E157" s="14" t="s">
        <v>688</v>
      </c>
      <c r="F157" s="14" t="s">
        <v>320</v>
      </c>
      <c r="G157" s="14" t="s">
        <v>321</v>
      </c>
      <c r="H157" s="15">
        <f>ROUND(SUMPRODUCT(SUMIF(Final!$G$4:$G$330,CashReserveLevy!D157:F157,Final!$C$4:$C$330)),0)</f>
        <v>4628673</v>
      </c>
      <c r="I157" s="15">
        <f t="shared" si="15"/>
        <v>925735</v>
      </c>
      <c r="J157" s="15">
        <f>ROUND(SUMPRODUCT(SUMIF(Final!$G$4:$G$330,CashReserveLevy!D157:F157,Final!$E$4:$E$330)),0)</f>
        <v>188589</v>
      </c>
      <c r="K157" s="15">
        <f t="shared" si="16"/>
        <v>737146</v>
      </c>
      <c r="L157" s="37">
        <f>INDEX(ActualCRLevy_SAS!$A$2:$D$326,MATCH(CashReserveLevy!$C157,ActualCRLevy_SAS!$B$2:$B$326,0),4)</f>
        <v>259900</v>
      </c>
      <c r="M157" s="38" t="str">
        <f t="shared" si="17"/>
        <v/>
      </c>
      <c r="N157" s="17" t="str">
        <f t="shared" si="18"/>
        <v/>
      </c>
      <c r="O157" s="17" t="str">
        <f t="shared" si="21"/>
        <v/>
      </c>
      <c r="Q157" s="36">
        <f t="shared" si="19"/>
        <v>477246</v>
      </c>
      <c r="U157" s="37">
        <v>737146</v>
      </c>
      <c r="V157" s="36">
        <f t="shared" si="20"/>
        <v>0</v>
      </c>
    </row>
    <row r="158" spans="1:22" x14ac:dyDescent="0.2">
      <c r="A158" s="14">
        <v>2024</v>
      </c>
      <c r="B158" s="14" t="s">
        <v>14</v>
      </c>
      <c r="C158" s="14" t="s">
        <v>322</v>
      </c>
      <c r="D158" s="14" t="s">
        <v>688</v>
      </c>
      <c r="E158" s="14" t="s">
        <v>688</v>
      </c>
      <c r="F158" s="14" t="s">
        <v>322</v>
      </c>
      <c r="G158" s="14" t="s">
        <v>323</v>
      </c>
      <c r="H158" s="15">
        <f>ROUND(SUMPRODUCT(SUMIF(Final!$G$4:$G$330,CashReserveLevy!D158:F158,Final!$C$4:$C$330)),0)</f>
        <v>3998533</v>
      </c>
      <c r="I158" s="15">
        <f t="shared" si="15"/>
        <v>799707</v>
      </c>
      <c r="J158" s="15">
        <f>ROUND(SUMPRODUCT(SUMIF(Final!$G$4:$G$330,CashReserveLevy!D158:F158,Final!$E$4:$E$330)),0)</f>
        <v>1334166</v>
      </c>
      <c r="K158" s="15">
        <f t="shared" si="16"/>
        <v>0</v>
      </c>
      <c r="L158" s="37">
        <f>INDEX(ActualCRLevy_SAS!$A$2:$D$326,MATCH(CashReserveLevy!$C158,ActualCRLevy_SAS!$B$2:$B$326,0),4)</f>
        <v>0</v>
      </c>
      <c r="M158" s="38" t="str">
        <f t="shared" si="17"/>
        <v/>
      </c>
      <c r="N158" s="17" t="str">
        <f t="shared" si="18"/>
        <v/>
      </c>
      <c r="O158" s="17" t="str">
        <f t="shared" si="21"/>
        <v/>
      </c>
      <c r="Q158" s="36">
        <f t="shared" si="19"/>
        <v>0</v>
      </c>
      <c r="U158" s="37">
        <v>0</v>
      </c>
      <c r="V158" s="36">
        <f t="shared" si="20"/>
        <v>0</v>
      </c>
    </row>
    <row r="159" spans="1:22" x14ac:dyDescent="0.2">
      <c r="A159" s="14">
        <v>2024</v>
      </c>
      <c r="B159" s="14" t="s">
        <v>11</v>
      </c>
      <c r="C159" s="14" t="s">
        <v>324</v>
      </c>
      <c r="D159" s="14" t="s">
        <v>688</v>
      </c>
      <c r="E159" s="14" t="s">
        <v>688</v>
      </c>
      <c r="F159" s="14" t="s">
        <v>324</v>
      </c>
      <c r="G159" s="14" t="s">
        <v>325</v>
      </c>
      <c r="H159" s="15">
        <f>ROUND(SUMPRODUCT(SUMIF(Final!$G$4:$G$330,CashReserveLevy!D159:F159,Final!$C$4:$C$330)),0)</f>
        <v>7867679</v>
      </c>
      <c r="I159" s="15">
        <f t="shared" si="15"/>
        <v>1573536</v>
      </c>
      <c r="J159" s="15">
        <f>ROUND(SUMPRODUCT(SUMIF(Final!$G$4:$G$330,CashReserveLevy!D159:F159,Final!$E$4:$E$330)),0)</f>
        <v>4074700</v>
      </c>
      <c r="K159" s="15">
        <f t="shared" si="16"/>
        <v>0</v>
      </c>
      <c r="L159" s="37">
        <f>INDEX(ActualCRLevy_SAS!$A$2:$D$326,MATCH(CashReserveLevy!$C159,ActualCRLevy_SAS!$B$2:$B$326,0),4)</f>
        <v>0</v>
      </c>
      <c r="M159" s="38" t="str">
        <f t="shared" si="17"/>
        <v/>
      </c>
      <c r="N159" s="17" t="str">
        <f t="shared" si="18"/>
        <v/>
      </c>
      <c r="O159" s="17" t="str">
        <f t="shared" si="21"/>
        <v/>
      </c>
      <c r="Q159" s="36">
        <f t="shared" si="19"/>
        <v>0</v>
      </c>
      <c r="U159" s="37">
        <v>0</v>
      </c>
      <c r="V159" s="36">
        <f t="shared" si="20"/>
        <v>0</v>
      </c>
    </row>
    <row r="160" spans="1:22" x14ac:dyDescent="0.2">
      <c r="A160" s="14">
        <v>2024</v>
      </c>
      <c r="B160" s="14" t="s">
        <v>11</v>
      </c>
      <c r="C160" s="14" t="s">
        <v>326</v>
      </c>
      <c r="D160" s="14" t="s">
        <v>688</v>
      </c>
      <c r="E160" s="14" t="s">
        <v>688</v>
      </c>
      <c r="F160" s="14" t="s">
        <v>326</v>
      </c>
      <c r="G160" s="14" t="s">
        <v>327</v>
      </c>
      <c r="H160" s="15">
        <f>ROUND(SUMPRODUCT(SUMIF(Final!$G$4:$G$330,CashReserveLevy!D160:F160,Final!$C$4:$C$330)),0)</f>
        <v>26947252</v>
      </c>
      <c r="I160" s="15">
        <f t="shared" si="15"/>
        <v>5389450</v>
      </c>
      <c r="J160" s="15">
        <f>ROUND(SUMPRODUCT(SUMIF(Final!$G$4:$G$330,CashReserveLevy!D160:F160,Final!$E$4:$E$330)),0)</f>
        <v>7220553</v>
      </c>
      <c r="K160" s="15">
        <f t="shared" si="16"/>
        <v>0</v>
      </c>
      <c r="L160" s="37">
        <f>INDEX(ActualCRLevy_SAS!$A$2:$D$326,MATCH(CashReserveLevy!$C160,ActualCRLevy_SAS!$B$2:$B$326,0),4)</f>
        <v>0</v>
      </c>
      <c r="M160" s="38" t="str">
        <f t="shared" si="17"/>
        <v/>
      </c>
      <c r="N160" s="17" t="str">
        <f t="shared" si="18"/>
        <v/>
      </c>
      <c r="O160" s="17" t="str">
        <f t="shared" si="21"/>
        <v/>
      </c>
      <c r="Q160" s="36">
        <f t="shared" si="19"/>
        <v>0</v>
      </c>
      <c r="U160" s="37">
        <v>0</v>
      </c>
      <c r="V160" s="36">
        <f t="shared" si="20"/>
        <v>0</v>
      </c>
    </row>
    <row r="161" spans="1:22" x14ac:dyDescent="0.2">
      <c r="A161" s="14">
        <v>2024</v>
      </c>
      <c r="B161" s="14" t="s">
        <v>8</v>
      </c>
      <c r="C161" s="14" t="s">
        <v>328</v>
      </c>
      <c r="D161" s="14" t="s">
        <v>688</v>
      </c>
      <c r="E161" s="14" t="s">
        <v>688</v>
      </c>
      <c r="F161" s="14" t="s">
        <v>328</v>
      </c>
      <c r="G161" s="14" t="s">
        <v>329</v>
      </c>
      <c r="H161" s="15">
        <f>ROUND(SUMPRODUCT(SUMIF(Final!$G$4:$G$330,CashReserveLevy!D161:F161,Final!$C$4:$C$330)),0)</f>
        <v>6411886</v>
      </c>
      <c r="I161" s="15">
        <f t="shared" si="15"/>
        <v>1282377</v>
      </c>
      <c r="J161" s="15">
        <f>ROUND(SUMPRODUCT(SUMIF(Final!$G$4:$G$330,CashReserveLevy!D161:F161,Final!$E$4:$E$330)),0)</f>
        <v>2233110</v>
      </c>
      <c r="K161" s="15">
        <f t="shared" si="16"/>
        <v>0</v>
      </c>
      <c r="L161" s="37">
        <f>INDEX(ActualCRLevy_SAS!$A$2:$D$326,MATCH(CashReserveLevy!$C161,ActualCRLevy_SAS!$B$2:$B$326,0),4)</f>
        <v>0</v>
      </c>
      <c r="M161" s="38" t="str">
        <f t="shared" si="17"/>
        <v/>
      </c>
      <c r="N161" s="17" t="str">
        <f t="shared" si="18"/>
        <v/>
      </c>
      <c r="O161" s="17" t="str">
        <f t="shared" si="21"/>
        <v/>
      </c>
      <c r="Q161" s="36">
        <f t="shared" si="19"/>
        <v>0</v>
      </c>
      <c r="U161" s="37">
        <v>0</v>
      </c>
      <c r="V161" s="36">
        <f t="shared" si="20"/>
        <v>0</v>
      </c>
    </row>
    <row r="162" spans="1:22" x14ac:dyDescent="0.2">
      <c r="A162" s="14">
        <v>2024</v>
      </c>
      <c r="B162" s="14" t="s">
        <v>8</v>
      </c>
      <c r="C162" s="14" t="s">
        <v>330</v>
      </c>
      <c r="D162" s="14" t="s">
        <v>688</v>
      </c>
      <c r="E162" s="14" t="s">
        <v>688</v>
      </c>
      <c r="F162" s="14" t="s">
        <v>330</v>
      </c>
      <c r="G162" s="14" t="s">
        <v>331</v>
      </c>
      <c r="H162" s="15">
        <f>ROUND(SUMPRODUCT(SUMIF(Final!$G$4:$G$330,CashReserveLevy!D162:F162,Final!$C$4:$C$330)),0)</f>
        <v>37343116</v>
      </c>
      <c r="I162" s="15">
        <f t="shared" si="15"/>
        <v>7468623</v>
      </c>
      <c r="J162" s="15">
        <f>ROUND(SUMPRODUCT(SUMIF(Final!$G$4:$G$330,CashReserveLevy!D162:F162,Final!$E$4:$E$330)),0)</f>
        <v>9219553</v>
      </c>
      <c r="K162" s="15">
        <f t="shared" si="16"/>
        <v>0</v>
      </c>
      <c r="L162" s="37">
        <f>INDEX(ActualCRLevy_SAS!$A$2:$D$326,MATCH(CashReserveLevy!$C162,ActualCRLevy_SAS!$B$2:$B$326,0),4)</f>
        <v>0</v>
      </c>
      <c r="M162" s="38" t="str">
        <f t="shared" si="17"/>
        <v/>
      </c>
      <c r="N162" s="17" t="str">
        <f t="shared" si="18"/>
        <v/>
      </c>
      <c r="O162" s="17" t="str">
        <f t="shared" si="21"/>
        <v/>
      </c>
      <c r="Q162" s="36">
        <f t="shared" si="19"/>
        <v>0</v>
      </c>
      <c r="U162" s="37">
        <v>0</v>
      </c>
      <c r="V162" s="36">
        <f t="shared" si="20"/>
        <v>0</v>
      </c>
    </row>
    <row r="163" spans="1:22" x14ac:dyDescent="0.2">
      <c r="A163" s="14">
        <v>2024</v>
      </c>
      <c r="B163" s="14" t="s">
        <v>20</v>
      </c>
      <c r="C163" s="14" t="s">
        <v>332</v>
      </c>
      <c r="D163" s="14" t="s">
        <v>688</v>
      </c>
      <c r="E163" s="14" t="s">
        <v>688</v>
      </c>
      <c r="F163" s="14" t="s">
        <v>332</v>
      </c>
      <c r="G163" s="14" t="s">
        <v>333</v>
      </c>
      <c r="H163" s="15">
        <f>ROUND(SUMPRODUCT(SUMIF(Final!$G$4:$G$330,CashReserveLevy!D163:F163,Final!$C$4:$C$330)),0)</f>
        <v>101239182</v>
      </c>
      <c r="I163" s="15">
        <f t="shared" si="15"/>
        <v>20247836</v>
      </c>
      <c r="J163" s="15">
        <f>ROUND(SUMPRODUCT(SUMIF(Final!$G$4:$G$330,CashReserveLevy!D163:F163,Final!$E$4:$E$330)),0)</f>
        <v>11881513</v>
      </c>
      <c r="K163" s="15">
        <f t="shared" si="16"/>
        <v>8366323</v>
      </c>
      <c r="L163" s="37">
        <f>INDEX(ActualCRLevy_SAS!$A$2:$D$326,MATCH(CashReserveLevy!$C163,ActualCRLevy_SAS!$B$2:$B$326,0),4)</f>
        <v>8366323</v>
      </c>
      <c r="M163" s="38" t="str">
        <f t="shared" si="17"/>
        <v>Max</v>
      </c>
      <c r="N163" s="17" t="str">
        <f t="shared" si="18"/>
        <v/>
      </c>
      <c r="O163" s="17" t="str">
        <f t="shared" si="21"/>
        <v/>
      </c>
      <c r="Q163" s="36">
        <f t="shared" si="19"/>
        <v>0</v>
      </c>
      <c r="U163" s="37">
        <v>8366323</v>
      </c>
      <c r="V163" s="36">
        <f t="shared" si="20"/>
        <v>0</v>
      </c>
    </row>
    <row r="164" spans="1:22" x14ac:dyDescent="0.2">
      <c r="A164" s="14">
        <v>2024</v>
      </c>
      <c r="B164" s="14" t="s">
        <v>20</v>
      </c>
      <c r="C164" s="14" t="s">
        <v>334</v>
      </c>
      <c r="D164" s="14" t="s">
        <v>688</v>
      </c>
      <c r="E164" s="14" t="s">
        <v>688</v>
      </c>
      <c r="F164" s="14" t="s">
        <v>334</v>
      </c>
      <c r="G164" s="14" t="s">
        <v>335</v>
      </c>
      <c r="H164" s="15">
        <f>ROUND(SUMPRODUCT(SUMIF(Final!$G$4:$G$330,CashReserveLevy!D164:F164,Final!$C$4:$C$330)),0)</f>
        <v>8828907</v>
      </c>
      <c r="I164" s="15">
        <f t="shared" si="15"/>
        <v>1765781</v>
      </c>
      <c r="J164" s="15">
        <f>ROUND(SUMPRODUCT(SUMIF(Final!$G$4:$G$330,CashReserveLevy!D164:F164,Final!$E$4:$E$330)),0)</f>
        <v>1514097</v>
      </c>
      <c r="K164" s="15">
        <f t="shared" si="16"/>
        <v>251684</v>
      </c>
      <c r="L164" s="37">
        <f>INDEX(ActualCRLevy_SAS!$A$2:$D$326,MATCH(CashReserveLevy!$C164,ActualCRLevy_SAS!$B$2:$B$326,0),4)</f>
        <v>244229</v>
      </c>
      <c r="M164" s="38" t="str">
        <f t="shared" si="17"/>
        <v/>
      </c>
      <c r="N164" s="17" t="str">
        <f t="shared" si="18"/>
        <v/>
      </c>
      <c r="O164" s="17" t="str">
        <f t="shared" si="21"/>
        <v/>
      </c>
      <c r="Q164" s="36">
        <f t="shared" si="19"/>
        <v>7455</v>
      </c>
      <c r="U164" s="37">
        <v>251684</v>
      </c>
      <c r="V164" s="36">
        <f t="shared" si="20"/>
        <v>0</v>
      </c>
    </row>
    <row r="165" spans="1:22" x14ac:dyDescent="0.2">
      <c r="A165" s="14">
        <v>2024</v>
      </c>
      <c r="B165" s="14" t="s">
        <v>8</v>
      </c>
      <c r="C165" s="14" t="s">
        <v>336</v>
      </c>
      <c r="D165" s="14" t="s">
        <v>688</v>
      </c>
      <c r="E165" s="14" t="s">
        <v>688</v>
      </c>
      <c r="F165" s="14" t="s">
        <v>336</v>
      </c>
      <c r="G165" s="14" t="s">
        <v>337</v>
      </c>
      <c r="H165" s="15">
        <f>ROUND(SUMPRODUCT(SUMIF(Final!$G$4:$G$330,CashReserveLevy!D165:F165,Final!$C$4:$C$330)),0)</f>
        <v>7538903</v>
      </c>
      <c r="I165" s="15">
        <f t="shared" si="15"/>
        <v>1507781</v>
      </c>
      <c r="J165" s="15">
        <f>ROUND(SUMPRODUCT(SUMIF(Final!$G$4:$G$330,CashReserveLevy!D165:F165,Final!$E$4:$E$330)),0)</f>
        <v>1718121</v>
      </c>
      <c r="K165" s="15">
        <f t="shared" si="16"/>
        <v>0</v>
      </c>
      <c r="L165" s="37">
        <f>INDEX(ActualCRLevy_SAS!$A$2:$D$326,MATCH(CashReserveLevy!$C165,ActualCRLevy_SAS!$B$2:$B$326,0),4)</f>
        <v>0</v>
      </c>
      <c r="M165" s="38" t="str">
        <f t="shared" si="17"/>
        <v/>
      </c>
      <c r="N165" s="17" t="str">
        <f t="shared" si="18"/>
        <v/>
      </c>
      <c r="O165" s="17" t="str">
        <f t="shared" si="21"/>
        <v/>
      </c>
      <c r="Q165" s="36">
        <f t="shared" si="19"/>
        <v>0</v>
      </c>
      <c r="U165" s="37">
        <v>0</v>
      </c>
      <c r="V165" s="36">
        <f t="shared" si="20"/>
        <v>0</v>
      </c>
    </row>
    <row r="166" spans="1:22" x14ac:dyDescent="0.2">
      <c r="A166" s="14">
        <v>2024</v>
      </c>
      <c r="B166" s="14" t="s">
        <v>20</v>
      </c>
      <c r="C166" s="14" t="s">
        <v>338</v>
      </c>
      <c r="D166" s="14" t="s">
        <v>688</v>
      </c>
      <c r="E166" s="14" t="s">
        <v>688</v>
      </c>
      <c r="F166" s="14" t="s">
        <v>338</v>
      </c>
      <c r="G166" s="14" t="s">
        <v>339</v>
      </c>
      <c r="H166" s="15">
        <f>ROUND(SUMPRODUCT(SUMIF(Final!$G$4:$G$330,CashReserveLevy!D166:F166,Final!$C$4:$C$330)),0)</f>
        <v>4919232</v>
      </c>
      <c r="I166" s="15">
        <f t="shared" si="15"/>
        <v>983846</v>
      </c>
      <c r="J166" s="15">
        <f>ROUND(SUMPRODUCT(SUMIF(Final!$G$4:$G$330,CashReserveLevy!D166:F166,Final!$E$4:$E$330)),0)</f>
        <v>1378293</v>
      </c>
      <c r="K166" s="15">
        <f t="shared" si="16"/>
        <v>0</v>
      </c>
      <c r="L166" s="37">
        <f>INDEX(ActualCRLevy_SAS!$A$2:$D$326,MATCH(CashReserveLevy!$C166,ActualCRLevy_SAS!$B$2:$B$326,0),4)</f>
        <v>0</v>
      </c>
      <c r="M166" s="38" t="str">
        <f t="shared" si="17"/>
        <v/>
      </c>
      <c r="N166" s="17" t="str">
        <f t="shared" si="18"/>
        <v/>
      </c>
      <c r="O166" s="17" t="str">
        <f t="shared" si="21"/>
        <v/>
      </c>
      <c r="Q166" s="36">
        <f t="shared" si="19"/>
        <v>0</v>
      </c>
      <c r="U166" s="37">
        <v>0</v>
      </c>
      <c r="V166" s="36">
        <f t="shared" si="20"/>
        <v>0</v>
      </c>
    </row>
    <row r="167" spans="1:22" x14ac:dyDescent="0.2">
      <c r="A167" s="14">
        <v>2024</v>
      </c>
      <c r="B167" s="14" t="s">
        <v>37</v>
      </c>
      <c r="C167" s="14" t="s">
        <v>340</v>
      </c>
      <c r="D167" s="14" t="s">
        <v>688</v>
      </c>
      <c r="E167" s="14" t="s">
        <v>688</v>
      </c>
      <c r="F167" s="14" t="s">
        <v>340</v>
      </c>
      <c r="G167" s="14" t="s">
        <v>341</v>
      </c>
      <c r="H167" s="15">
        <f>ROUND(SUMPRODUCT(SUMIF(Final!$G$4:$G$330,CashReserveLevy!D167:F167,Final!$C$4:$C$330)),0)</f>
        <v>9683093</v>
      </c>
      <c r="I167" s="15">
        <f t="shared" si="15"/>
        <v>1936619</v>
      </c>
      <c r="J167" s="15">
        <f>ROUND(SUMPRODUCT(SUMIF(Final!$G$4:$G$330,CashReserveLevy!D167:F167,Final!$E$4:$E$330)),0)</f>
        <v>1968180</v>
      </c>
      <c r="K167" s="15">
        <f t="shared" si="16"/>
        <v>0</v>
      </c>
      <c r="L167" s="37">
        <f>INDEX(ActualCRLevy_SAS!$A$2:$D$326,MATCH(CashReserveLevy!$C167,ActualCRLevy_SAS!$B$2:$B$326,0),4)</f>
        <v>0</v>
      </c>
      <c r="M167" s="38" t="str">
        <f t="shared" si="17"/>
        <v/>
      </c>
      <c r="N167" s="17" t="str">
        <f t="shared" si="18"/>
        <v/>
      </c>
      <c r="O167" s="17" t="str">
        <f t="shared" si="21"/>
        <v/>
      </c>
      <c r="Q167" s="36">
        <f t="shared" si="19"/>
        <v>0</v>
      </c>
      <c r="U167" s="37">
        <v>0</v>
      </c>
      <c r="V167" s="36">
        <f t="shared" si="20"/>
        <v>0</v>
      </c>
    </row>
    <row r="168" spans="1:22" x14ac:dyDescent="0.2">
      <c r="A168" s="14">
        <v>2024</v>
      </c>
      <c r="B168" s="14" t="s">
        <v>0</v>
      </c>
      <c r="C168" s="14" t="s">
        <v>343</v>
      </c>
      <c r="D168" s="14" t="s">
        <v>688</v>
      </c>
      <c r="E168" s="14" t="s">
        <v>688</v>
      </c>
      <c r="F168" s="14" t="s">
        <v>343</v>
      </c>
      <c r="G168" s="14" t="s">
        <v>344</v>
      </c>
      <c r="H168" s="15">
        <f>ROUND(SUMPRODUCT(SUMIF(Final!$G$4:$G$330,CashReserveLevy!D168:F168,Final!$C$4:$C$330)),0)</f>
        <v>6450821</v>
      </c>
      <c r="I168" s="15">
        <f t="shared" si="15"/>
        <v>1290164</v>
      </c>
      <c r="J168" s="15">
        <f>ROUND(SUMPRODUCT(SUMIF(Final!$G$4:$G$330,CashReserveLevy!D168:F168,Final!$E$4:$E$330)),0)</f>
        <v>1603743</v>
      </c>
      <c r="K168" s="15">
        <f t="shared" si="16"/>
        <v>0</v>
      </c>
      <c r="L168" s="37">
        <f>INDEX(ActualCRLevy_SAS!$A$2:$D$326,MATCH(CashReserveLevy!$C168,ActualCRLevy_SAS!$B$2:$B$326,0),4)</f>
        <v>0</v>
      </c>
      <c r="M168" s="38" t="str">
        <f t="shared" si="17"/>
        <v/>
      </c>
      <c r="N168" s="17" t="str">
        <f t="shared" si="18"/>
        <v/>
      </c>
      <c r="O168" s="17" t="str">
        <f t="shared" si="21"/>
        <v/>
      </c>
      <c r="Q168" s="36">
        <f t="shared" si="19"/>
        <v>0</v>
      </c>
      <c r="U168" s="37">
        <v>0</v>
      </c>
      <c r="V168" s="36">
        <f t="shared" si="20"/>
        <v>0</v>
      </c>
    </row>
    <row r="169" spans="1:22" x14ac:dyDescent="0.2">
      <c r="A169" s="14">
        <v>2024</v>
      </c>
      <c r="B169" s="14" t="s">
        <v>0</v>
      </c>
      <c r="C169" s="14" t="s">
        <v>345</v>
      </c>
      <c r="D169" s="14" t="s">
        <v>688</v>
      </c>
      <c r="E169" s="14" t="s">
        <v>688</v>
      </c>
      <c r="F169" s="14" t="s">
        <v>345</v>
      </c>
      <c r="G169" s="14" t="s">
        <v>346</v>
      </c>
      <c r="H169" s="15">
        <f>ROUND(SUMPRODUCT(SUMIF(Final!$G$4:$G$330,CashReserveLevy!D169:F169,Final!$C$4:$C$330)),0)</f>
        <v>8461986</v>
      </c>
      <c r="I169" s="15">
        <f t="shared" si="15"/>
        <v>1692397</v>
      </c>
      <c r="J169" s="15">
        <f>ROUND(SUMPRODUCT(SUMIF(Final!$G$4:$G$330,CashReserveLevy!D169:F169,Final!$E$4:$E$330)),0)</f>
        <v>1433350</v>
      </c>
      <c r="K169" s="15">
        <f t="shared" si="16"/>
        <v>259047</v>
      </c>
      <c r="L169" s="37">
        <f>INDEX(ActualCRLevy_SAS!$A$2:$D$326,MATCH(CashReserveLevy!$C169,ActualCRLevy_SAS!$B$2:$B$326,0),4)</f>
        <v>200000</v>
      </c>
      <c r="M169" s="38" t="str">
        <f t="shared" si="17"/>
        <v/>
      </c>
      <c r="N169" s="17" t="str">
        <f t="shared" si="18"/>
        <v/>
      </c>
      <c r="O169" s="17" t="str">
        <f t="shared" si="21"/>
        <v/>
      </c>
      <c r="Q169" s="36">
        <f t="shared" si="19"/>
        <v>59047</v>
      </c>
      <c r="U169" s="37">
        <v>259047</v>
      </c>
      <c r="V169" s="36">
        <f t="shared" si="20"/>
        <v>0</v>
      </c>
    </row>
    <row r="170" spans="1:22" x14ac:dyDescent="0.2">
      <c r="A170" s="14">
        <v>2024</v>
      </c>
      <c r="B170" s="14" t="s">
        <v>14</v>
      </c>
      <c r="C170" s="14" t="s">
        <v>347</v>
      </c>
      <c r="D170" s="14" t="s">
        <v>688</v>
      </c>
      <c r="E170" s="14" t="s">
        <v>688</v>
      </c>
      <c r="F170" s="14" t="s">
        <v>347</v>
      </c>
      <c r="G170" s="14" t="s">
        <v>348</v>
      </c>
      <c r="H170" s="15">
        <f>ROUND(SUMPRODUCT(SUMIF(Final!$G$4:$G$330,CashReserveLevy!D170:F170,Final!$C$4:$C$330)),0)</f>
        <v>9499395</v>
      </c>
      <c r="I170" s="15">
        <f t="shared" si="15"/>
        <v>1899879</v>
      </c>
      <c r="J170" s="15">
        <f>ROUND(SUMPRODUCT(SUMIF(Final!$G$4:$G$330,CashReserveLevy!D170:F170,Final!$E$4:$E$330)),0)</f>
        <v>3308828</v>
      </c>
      <c r="K170" s="15">
        <f t="shared" si="16"/>
        <v>0</v>
      </c>
      <c r="L170" s="37">
        <f>INDEX(ActualCRLevy_SAS!$A$2:$D$326,MATCH(CashReserveLevy!$C170,ActualCRLevy_SAS!$B$2:$B$326,0),4)</f>
        <v>0</v>
      </c>
      <c r="M170" s="38" t="str">
        <f t="shared" si="17"/>
        <v/>
      </c>
      <c r="N170" s="17" t="str">
        <f t="shared" si="18"/>
        <v/>
      </c>
      <c r="O170" s="17" t="str">
        <f t="shared" si="21"/>
        <v/>
      </c>
      <c r="Q170" s="36">
        <f t="shared" si="19"/>
        <v>0</v>
      </c>
      <c r="U170" s="37">
        <v>0</v>
      </c>
      <c r="V170" s="36">
        <f t="shared" si="20"/>
        <v>0</v>
      </c>
    </row>
    <row r="171" spans="1:22" x14ac:dyDescent="0.2">
      <c r="A171" s="14">
        <v>2024</v>
      </c>
      <c r="B171" s="14" t="s">
        <v>11</v>
      </c>
      <c r="C171" s="14" t="s">
        <v>349</v>
      </c>
      <c r="D171" s="14" t="s">
        <v>688</v>
      </c>
      <c r="E171" s="14" t="s">
        <v>688</v>
      </c>
      <c r="F171" s="14" t="s">
        <v>349</v>
      </c>
      <c r="G171" s="14" t="s">
        <v>350</v>
      </c>
      <c r="H171" s="15">
        <f>ROUND(SUMPRODUCT(SUMIF(Final!$G$4:$G$330,CashReserveLevy!D171:F171,Final!$C$4:$C$330)),0)</f>
        <v>9619026</v>
      </c>
      <c r="I171" s="15">
        <f t="shared" si="15"/>
        <v>1923805</v>
      </c>
      <c r="J171" s="15">
        <f>ROUND(SUMPRODUCT(SUMIF(Final!$G$4:$G$330,CashReserveLevy!D171:F171,Final!$E$4:$E$330)),0)</f>
        <v>2675762</v>
      </c>
      <c r="K171" s="15">
        <f t="shared" si="16"/>
        <v>0</v>
      </c>
      <c r="L171" s="37">
        <f>INDEX(ActualCRLevy_SAS!$A$2:$D$326,MATCH(CashReserveLevy!$C171,ActualCRLevy_SAS!$B$2:$B$326,0),4)</f>
        <v>0</v>
      </c>
      <c r="M171" s="38" t="str">
        <f t="shared" si="17"/>
        <v/>
      </c>
      <c r="N171" s="17" t="str">
        <f t="shared" si="18"/>
        <v/>
      </c>
      <c r="O171" s="17" t="str">
        <f t="shared" si="21"/>
        <v/>
      </c>
      <c r="Q171" s="36">
        <f t="shared" si="19"/>
        <v>0</v>
      </c>
      <c r="U171" s="37">
        <v>0</v>
      </c>
      <c r="V171" s="36">
        <f t="shared" si="20"/>
        <v>0</v>
      </c>
    </row>
    <row r="172" spans="1:22" x14ac:dyDescent="0.2">
      <c r="A172" s="14">
        <v>2024</v>
      </c>
      <c r="B172" s="14" t="s">
        <v>37</v>
      </c>
      <c r="C172" s="14" t="s">
        <v>351</v>
      </c>
      <c r="D172" s="14" t="s">
        <v>688</v>
      </c>
      <c r="E172" s="14" t="s">
        <v>688</v>
      </c>
      <c r="F172" s="14" t="s">
        <v>351</v>
      </c>
      <c r="G172" s="14" t="s">
        <v>352</v>
      </c>
      <c r="H172" s="15">
        <f>ROUND(SUMPRODUCT(SUMIF(Final!$G$4:$G$330,CashReserveLevy!D172:F172,Final!$C$4:$C$330)),0)</f>
        <v>18925490</v>
      </c>
      <c r="I172" s="15">
        <f t="shared" si="15"/>
        <v>3785098</v>
      </c>
      <c r="J172" s="15">
        <f>ROUND(SUMPRODUCT(SUMIF(Final!$G$4:$G$330,CashReserveLevy!D172:F172,Final!$E$4:$E$330)),0)</f>
        <v>3368951</v>
      </c>
      <c r="K172" s="15">
        <f t="shared" si="16"/>
        <v>416147</v>
      </c>
      <c r="L172" s="37">
        <f>INDEX(ActualCRLevy_SAS!$A$2:$D$326,MATCH(CashReserveLevy!$C172,ActualCRLevy_SAS!$B$2:$B$326,0),4)</f>
        <v>416147</v>
      </c>
      <c r="M172" s="38" t="str">
        <f t="shared" si="17"/>
        <v>Max</v>
      </c>
      <c r="N172" s="17" t="str">
        <f t="shared" si="18"/>
        <v/>
      </c>
      <c r="O172" s="17" t="str">
        <f t="shared" si="21"/>
        <v/>
      </c>
      <c r="Q172" s="36">
        <f t="shared" si="19"/>
        <v>0</v>
      </c>
      <c r="U172" s="37">
        <v>416147</v>
      </c>
      <c r="V172" s="36">
        <f t="shared" si="20"/>
        <v>0</v>
      </c>
    </row>
    <row r="173" spans="1:22" x14ac:dyDescent="0.2">
      <c r="A173" s="14">
        <v>2024</v>
      </c>
      <c r="B173" s="14" t="s">
        <v>28</v>
      </c>
      <c r="C173" s="14" t="s">
        <v>353</v>
      </c>
      <c r="D173" s="14" t="s">
        <v>688</v>
      </c>
      <c r="E173" s="14" t="s">
        <v>688</v>
      </c>
      <c r="F173" s="14" t="s">
        <v>353</v>
      </c>
      <c r="G173" s="14" t="s">
        <v>354</v>
      </c>
      <c r="H173" s="15">
        <f>ROUND(SUMPRODUCT(SUMIF(Final!$G$4:$G$330,CashReserveLevy!D173:F173,Final!$C$4:$C$330)),0)</f>
        <v>9099547</v>
      </c>
      <c r="I173" s="15">
        <f t="shared" si="15"/>
        <v>1819909</v>
      </c>
      <c r="J173" s="15">
        <f>ROUND(SUMPRODUCT(SUMIF(Final!$G$4:$G$330,CashReserveLevy!D173:F173,Final!$E$4:$E$330)),0)</f>
        <v>3270984</v>
      </c>
      <c r="K173" s="15">
        <f t="shared" si="16"/>
        <v>0</v>
      </c>
      <c r="L173" s="37">
        <f>INDEX(ActualCRLevy_SAS!$A$2:$D$326,MATCH(CashReserveLevy!$C173,ActualCRLevy_SAS!$B$2:$B$326,0),4)</f>
        <v>0</v>
      </c>
      <c r="M173" s="38" t="str">
        <f t="shared" si="17"/>
        <v/>
      </c>
      <c r="N173" s="17" t="str">
        <f t="shared" si="18"/>
        <v/>
      </c>
      <c r="O173" s="17" t="str">
        <f t="shared" si="21"/>
        <v/>
      </c>
      <c r="Q173" s="36">
        <f t="shared" si="19"/>
        <v>0</v>
      </c>
      <c r="U173" s="37">
        <v>0</v>
      </c>
      <c r="V173" s="36">
        <f t="shared" si="20"/>
        <v>0</v>
      </c>
    </row>
    <row r="174" spans="1:22" x14ac:dyDescent="0.2">
      <c r="A174" s="14">
        <v>2024</v>
      </c>
      <c r="B174" s="14" t="s">
        <v>11</v>
      </c>
      <c r="C174" s="14" t="s">
        <v>355</v>
      </c>
      <c r="D174" s="14" t="s">
        <v>688</v>
      </c>
      <c r="E174" s="14" t="s">
        <v>688</v>
      </c>
      <c r="F174" s="14" t="s">
        <v>355</v>
      </c>
      <c r="G174" s="14" t="s">
        <v>356</v>
      </c>
      <c r="H174" s="15">
        <f>ROUND(SUMPRODUCT(SUMIF(Final!$G$4:$G$330,CashReserveLevy!D174:F174,Final!$C$4:$C$330)),0)</f>
        <v>7165991</v>
      </c>
      <c r="I174" s="15">
        <f t="shared" si="15"/>
        <v>1433198</v>
      </c>
      <c r="J174" s="15">
        <f>ROUND(SUMPRODUCT(SUMIF(Final!$G$4:$G$330,CashReserveLevy!D174:F174,Final!$E$4:$E$330)),0)</f>
        <v>734901</v>
      </c>
      <c r="K174" s="15">
        <f t="shared" si="16"/>
        <v>698297</v>
      </c>
      <c r="L174" s="37">
        <f>INDEX(ActualCRLevy_SAS!$A$2:$D$326,MATCH(CashReserveLevy!$C174,ActualCRLevy_SAS!$B$2:$B$326,0),4)</f>
        <v>271062</v>
      </c>
      <c r="M174" s="38" t="str">
        <f t="shared" si="17"/>
        <v/>
      </c>
      <c r="N174" s="17" t="str">
        <f t="shared" si="18"/>
        <v/>
      </c>
      <c r="O174" s="17" t="str">
        <f t="shared" si="21"/>
        <v/>
      </c>
      <c r="Q174" s="36">
        <f t="shared" si="19"/>
        <v>427235</v>
      </c>
      <c r="U174" s="37">
        <v>698297</v>
      </c>
      <c r="V174" s="36">
        <f t="shared" si="20"/>
        <v>0</v>
      </c>
    </row>
    <row r="175" spans="1:22" x14ac:dyDescent="0.2">
      <c r="A175" s="14">
        <v>2024</v>
      </c>
      <c r="B175" s="14" t="s">
        <v>20</v>
      </c>
      <c r="C175" s="14" t="s">
        <v>357</v>
      </c>
      <c r="D175" s="14" t="s">
        <v>688</v>
      </c>
      <c r="E175" s="14" t="s">
        <v>688</v>
      </c>
      <c r="F175" s="14" t="s">
        <v>357</v>
      </c>
      <c r="G175" s="14" t="s">
        <v>358</v>
      </c>
      <c r="H175" s="15">
        <f>ROUND(SUMPRODUCT(SUMIF(Final!$G$4:$G$330,CashReserveLevy!D175:F175,Final!$C$4:$C$330)),0)</f>
        <v>30960473</v>
      </c>
      <c r="I175" s="15">
        <f t="shared" si="15"/>
        <v>6192095</v>
      </c>
      <c r="J175" s="15">
        <f>ROUND(SUMPRODUCT(SUMIF(Final!$G$4:$G$330,CashReserveLevy!D175:F175,Final!$E$4:$E$330)),0)</f>
        <v>6381036</v>
      </c>
      <c r="K175" s="15">
        <f t="shared" si="16"/>
        <v>0</v>
      </c>
      <c r="L175" s="37">
        <f>INDEX(ActualCRLevy_SAS!$A$2:$D$326,MATCH(CashReserveLevy!$C175,ActualCRLevy_SAS!$B$2:$B$326,0),4)</f>
        <v>0</v>
      </c>
      <c r="M175" s="38" t="str">
        <f t="shared" si="17"/>
        <v/>
      </c>
      <c r="N175" s="17" t="str">
        <f t="shared" si="18"/>
        <v/>
      </c>
      <c r="O175" s="17" t="str">
        <f t="shared" si="21"/>
        <v/>
      </c>
      <c r="Q175" s="36">
        <f t="shared" si="19"/>
        <v>0</v>
      </c>
      <c r="U175" s="37">
        <v>0</v>
      </c>
      <c r="V175" s="36">
        <f t="shared" si="20"/>
        <v>0</v>
      </c>
    </row>
    <row r="176" spans="1:22" x14ac:dyDescent="0.2">
      <c r="A176" s="14">
        <v>2024</v>
      </c>
      <c r="B176" s="14" t="s">
        <v>5</v>
      </c>
      <c r="C176" s="14" t="s">
        <v>359</v>
      </c>
      <c r="D176" s="14" t="s">
        <v>688</v>
      </c>
      <c r="E176" s="14" t="s">
        <v>688</v>
      </c>
      <c r="F176" s="14" t="s">
        <v>359</v>
      </c>
      <c r="G176" s="14" t="s">
        <v>360</v>
      </c>
      <c r="H176" s="15">
        <f>ROUND(SUMPRODUCT(SUMIF(Final!$G$4:$G$330,CashReserveLevy!D176:F176,Final!$C$4:$C$330)),0)</f>
        <v>68977232</v>
      </c>
      <c r="I176" s="15">
        <f t="shared" si="15"/>
        <v>13795446</v>
      </c>
      <c r="J176" s="15">
        <f>ROUND(SUMPRODUCT(SUMIF(Final!$G$4:$G$330,CashReserveLevy!D176:F176,Final!$E$4:$E$330)),0)</f>
        <v>14233878</v>
      </c>
      <c r="K176" s="15">
        <f t="shared" si="16"/>
        <v>0</v>
      </c>
      <c r="L176" s="37">
        <f>INDEX(ActualCRLevy_SAS!$A$2:$D$326,MATCH(CashReserveLevy!$C176,ActualCRLevy_SAS!$B$2:$B$326,0),4)</f>
        <v>0</v>
      </c>
      <c r="M176" s="38" t="str">
        <f t="shared" si="17"/>
        <v/>
      </c>
      <c r="N176" s="17" t="str">
        <f t="shared" si="18"/>
        <v/>
      </c>
      <c r="O176" s="17" t="str">
        <f t="shared" si="21"/>
        <v/>
      </c>
      <c r="Q176" s="36">
        <f t="shared" si="19"/>
        <v>0</v>
      </c>
      <c r="U176" s="37">
        <v>0</v>
      </c>
      <c r="V176" s="36">
        <f t="shared" si="20"/>
        <v>0</v>
      </c>
    </row>
    <row r="177" spans="1:22" x14ac:dyDescent="0.2">
      <c r="A177" s="14">
        <v>2024</v>
      </c>
      <c r="B177" s="14" t="s">
        <v>0</v>
      </c>
      <c r="C177" s="14" t="s">
        <v>361</v>
      </c>
      <c r="D177" s="14" t="s">
        <v>688</v>
      </c>
      <c r="E177" s="14" t="s">
        <v>688</v>
      </c>
      <c r="F177" s="14" t="s">
        <v>361</v>
      </c>
      <c r="G177" s="14" t="s">
        <v>362</v>
      </c>
      <c r="H177" s="15">
        <f>ROUND(SUMPRODUCT(SUMIF(Final!$G$4:$G$330,CashReserveLevy!D177:F177,Final!$C$4:$C$330)),0)</f>
        <v>7746501</v>
      </c>
      <c r="I177" s="15">
        <f t="shared" si="15"/>
        <v>1549300</v>
      </c>
      <c r="J177" s="15">
        <f>ROUND(SUMPRODUCT(SUMIF(Final!$G$4:$G$330,CashReserveLevy!D177:F177,Final!$E$4:$E$330)),0)</f>
        <v>916471</v>
      </c>
      <c r="K177" s="15">
        <f t="shared" si="16"/>
        <v>632829</v>
      </c>
      <c r="L177" s="37">
        <f>INDEX(ActualCRLevy_SAS!$A$2:$D$326,MATCH(CashReserveLevy!$C177,ActualCRLevy_SAS!$B$2:$B$326,0),4)</f>
        <v>628429</v>
      </c>
      <c r="M177" s="38" t="str">
        <f t="shared" si="17"/>
        <v/>
      </c>
      <c r="N177" s="17" t="str">
        <f t="shared" si="18"/>
        <v/>
      </c>
      <c r="O177" s="17" t="str">
        <f t="shared" si="21"/>
        <v/>
      </c>
      <c r="Q177" s="36">
        <f t="shared" si="19"/>
        <v>4400</v>
      </c>
      <c r="U177" s="37">
        <v>632829</v>
      </c>
      <c r="V177" s="36">
        <f t="shared" si="20"/>
        <v>0</v>
      </c>
    </row>
    <row r="178" spans="1:22" x14ac:dyDescent="0.2">
      <c r="A178" s="14">
        <v>2024</v>
      </c>
      <c r="B178" s="14" t="s">
        <v>5</v>
      </c>
      <c r="C178" s="14" t="s">
        <v>363</v>
      </c>
      <c r="D178" s="14" t="s">
        <v>688</v>
      </c>
      <c r="E178" s="14" t="s">
        <v>688</v>
      </c>
      <c r="F178" s="14" t="s">
        <v>363</v>
      </c>
      <c r="G178" s="14" t="s">
        <v>364</v>
      </c>
      <c r="H178" s="15">
        <f>ROUND(SUMPRODUCT(SUMIF(Final!$G$4:$G$330,CashReserveLevy!D178:F178,Final!$C$4:$C$330)),0)</f>
        <v>54530680</v>
      </c>
      <c r="I178" s="15">
        <f t="shared" si="15"/>
        <v>10906136</v>
      </c>
      <c r="J178" s="15">
        <f>ROUND(SUMPRODUCT(SUMIF(Final!$G$4:$G$330,CashReserveLevy!D178:F178,Final!$E$4:$E$330)),0)</f>
        <v>6974839</v>
      </c>
      <c r="K178" s="15">
        <f t="shared" si="16"/>
        <v>3931297</v>
      </c>
      <c r="L178" s="37">
        <f>INDEX(ActualCRLevy_SAS!$A$2:$D$326,MATCH(CashReserveLevy!$C178,ActualCRLevy_SAS!$B$2:$B$326,0),4)</f>
        <v>3931297</v>
      </c>
      <c r="M178" s="38" t="str">
        <f t="shared" si="17"/>
        <v>Max</v>
      </c>
      <c r="N178" s="17" t="str">
        <f t="shared" si="18"/>
        <v/>
      </c>
      <c r="O178" s="17" t="str">
        <f t="shared" si="21"/>
        <v/>
      </c>
      <c r="Q178" s="36">
        <f t="shared" si="19"/>
        <v>0</v>
      </c>
      <c r="U178" s="37">
        <v>3931297</v>
      </c>
      <c r="V178" s="36">
        <f t="shared" si="20"/>
        <v>0</v>
      </c>
    </row>
    <row r="179" spans="1:22" x14ac:dyDescent="0.2">
      <c r="A179" s="14">
        <v>2024</v>
      </c>
      <c r="B179" s="14" t="s">
        <v>17</v>
      </c>
      <c r="C179" s="14" t="s">
        <v>365</v>
      </c>
      <c r="D179" s="14" t="s">
        <v>688</v>
      </c>
      <c r="E179" s="14" t="s">
        <v>688</v>
      </c>
      <c r="F179" s="14" t="s">
        <v>365</v>
      </c>
      <c r="G179" s="14" t="s">
        <v>366</v>
      </c>
      <c r="H179" s="15">
        <f>ROUND(SUMPRODUCT(SUMIF(Final!$G$4:$G$330,CashReserveLevy!D179:F179,Final!$C$4:$C$330)),0)</f>
        <v>10966828</v>
      </c>
      <c r="I179" s="15">
        <f t="shared" si="15"/>
        <v>2193366</v>
      </c>
      <c r="J179" s="15">
        <f>ROUND(SUMPRODUCT(SUMIF(Final!$G$4:$G$330,CashReserveLevy!D179:F179,Final!$E$4:$E$330)),0)</f>
        <v>3073606</v>
      </c>
      <c r="K179" s="15">
        <f t="shared" si="16"/>
        <v>0</v>
      </c>
      <c r="L179" s="37">
        <f>INDEX(ActualCRLevy_SAS!$A$2:$D$326,MATCH(CashReserveLevy!$C179,ActualCRLevy_SAS!$B$2:$B$326,0),4)</f>
        <v>0</v>
      </c>
      <c r="M179" s="38" t="str">
        <f t="shared" si="17"/>
        <v/>
      </c>
      <c r="N179" s="17" t="str">
        <f t="shared" si="18"/>
        <v/>
      </c>
      <c r="O179" s="17" t="str">
        <f t="shared" si="21"/>
        <v/>
      </c>
      <c r="Q179" s="36">
        <f t="shared" si="19"/>
        <v>0</v>
      </c>
      <c r="U179" s="37">
        <v>0</v>
      </c>
      <c r="V179" s="36">
        <f t="shared" si="20"/>
        <v>0</v>
      </c>
    </row>
    <row r="180" spans="1:22" x14ac:dyDescent="0.2">
      <c r="A180" s="14">
        <v>2024</v>
      </c>
      <c r="B180" s="14" t="s">
        <v>0</v>
      </c>
      <c r="C180" s="14" t="s">
        <v>367</v>
      </c>
      <c r="D180" s="14" t="s">
        <v>688</v>
      </c>
      <c r="E180" s="14" t="s">
        <v>688</v>
      </c>
      <c r="F180" s="14" t="s">
        <v>367</v>
      </c>
      <c r="G180" s="14" t="s">
        <v>368</v>
      </c>
      <c r="H180" s="15">
        <f>ROUND(SUMPRODUCT(SUMIF(Final!$G$4:$G$330,CashReserveLevy!D180:F180,Final!$C$4:$C$330)),0)</f>
        <v>4456921</v>
      </c>
      <c r="I180" s="15">
        <f t="shared" si="15"/>
        <v>891384</v>
      </c>
      <c r="J180" s="15">
        <f>ROUND(SUMPRODUCT(SUMIF(Final!$G$4:$G$330,CashReserveLevy!D180:F180,Final!$E$4:$E$330)),0)</f>
        <v>1779374</v>
      </c>
      <c r="K180" s="15">
        <f t="shared" si="16"/>
        <v>0</v>
      </c>
      <c r="L180" s="37">
        <f>INDEX(ActualCRLevy_SAS!$A$2:$D$326,MATCH(CashReserveLevy!$C180,ActualCRLevy_SAS!$B$2:$B$326,0),4)</f>
        <v>0</v>
      </c>
      <c r="M180" s="38" t="str">
        <f t="shared" si="17"/>
        <v/>
      </c>
      <c r="N180" s="17" t="str">
        <f t="shared" si="18"/>
        <v/>
      </c>
      <c r="O180" s="17" t="str">
        <f t="shared" si="21"/>
        <v/>
      </c>
      <c r="Q180" s="36">
        <f t="shared" si="19"/>
        <v>0</v>
      </c>
      <c r="U180" s="37">
        <v>0</v>
      </c>
      <c r="V180" s="36">
        <f t="shared" si="20"/>
        <v>0</v>
      </c>
    </row>
    <row r="181" spans="1:22" x14ac:dyDescent="0.2">
      <c r="A181" s="14">
        <v>2024</v>
      </c>
      <c r="B181" s="14" t="s">
        <v>28</v>
      </c>
      <c r="C181" s="14" t="s">
        <v>369</v>
      </c>
      <c r="D181" s="14" t="s">
        <v>688</v>
      </c>
      <c r="E181" s="14" t="s">
        <v>688</v>
      </c>
      <c r="F181" s="14" t="s">
        <v>369</v>
      </c>
      <c r="G181" s="14" t="s">
        <v>370</v>
      </c>
      <c r="H181" s="15">
        <f>ROUND(SUMPRODUCT(SUMIF(Final!$G$4:$G$330,CashReserveLevy!D181:F181,Final!$C$4:$C$330)),0)</f>
        <v>10279218</v>
      </c>
      <c r="I181" s="15">
        <f t="shared" si="15"/>
        <v>2055844</v>
      </c>
      <c r="J181" s="15">
        <f>ROUND(SUMPRODUCT(SUMIF(Final!$G$4:$G$330,CashReserveLevy!D181:F181,Final!$E$4:$E$330)),0)</f>
        <v>2876719</v>
      </c>
      <c r="K181" s="15">
        <f t="shared" si="16"/>
        <v>0</v>
      </c>
      <c r="L181" s="37">
        <f>INDEX(ActualCRLevy_SAS!$A$2:$D$326,MATCH(CashReserveLevy!$C181,ActualCRLevy_SAS!$B$2:$B$326,0),4)</f>
        <v>0</v>
      </c>
      <c r="M181" s="38" t="str">
        <f t="shared" si="17"/>
        <v/>
      </c>
      <c r="N181" s="17" t="str">
        <f t="shared" si="18"/>
        <v/>
      </c>
      <c r="O181" s="17" t="str">
        <f t="shared" si="21"/>
        <v/>
      </c>
      <c r="Q181" s="36">
        <f t="shared" si="19"/>
        <v>0</v>
      </c>
      <c r="U181" s="37">
        <v>0</v>
      </c>
      <c r="V181" s="36">
        <f t="shared" si="20"/>
        <v>0</v>
      </c>
    </row>
    <row r="182" spans="1:22" x14ac:dyDescent="0.2">
      <c r="A182" s="14">
        <v>2024</v>
      </c>
      <c r="B182" s="14" t="s">
        <v>20</v>
      </c>
      <c r="C182" s="14" t="s">
        <v>371</v>
      </c>
      <c r="D182" s="14" t="s">
        <v>688</v>
      </c>
      <c r="E182" s="14" t="s">
        <v>688</v>
      </c>
      <c r="F182" s="14" t="s">
        <v>371</v>
      </c>
      <c r="G182" s="14" t="s">
        <v>372</v>
      </c>
      <c r="H182" s="15">
        <f>ROUND(SUMPRODUCT(SUMIF(Final!$G$4:$G$330,CashReserveLevy!D182:F182,Final!$C$4:$C$330)),0)</f>
        <v>9161153</v>
      </c>
      <c r="I182" s="15">
        <f t="shared" si="15"/>
        <v>1832231</v>
      </c>
      <c r="J182" s="15">
        <f>ROUND(SUMPRODUCT(SUMIF(Final!$G$4:$G$330,CashReserveLevy!D182:F182,Final!$E$4:$E$330)),0)</f>
        <v>18672</v>
      </c>
      <c r="K182" s="15">
        <f t="shared" si="16"/>
        <v>1813559</v>
      </c>
      <c r="L182" s="37">
        <f>INDEX(ActualCRLevy_SAS!$A$2:$D$326,MATCH(CashReserveLevy!$C182,ActualCRLevy_SAS!$B$2:$B$326,0),4)</f>
        <v>0</v>
      </c>
      <c r="M182" s="38" t="str">
        <f t="shared" si="17"/>
        <v/>
      </c>
      <c r="N182" s="17" t="str">
        <f t="shared" si="18"/>
        <v>No Levy but have Capacity</v>
      </c>
      <c r="O182" s="17" t="str">
        <f t="shared" si="21"/>
        <v/>
      </c>
      <c r="Q182" s="36">
        <f t="shared" si="19"/>
        <v>1813559</v>
      </c>
      <c r="U182" s="37">
        <v>1813559</v>
      </c>
      <c r="V182" s="36">
        <f t="shared" si="20"/>
        <v>0</v>
      </c>
    </row>
    <row r="183" spans="1:22" x14ac:dyDescent="0.2">
      <c r="A183" s="14">
        <v>2024</v>
      </c>
      <c r="B183" s="14" t="s">
        <v>20</v>
      </c>
      <c r="C183" s="14" t="s">
        <v>373</v>
      </c>
      <c r="D183" s="14" t="s">
        <v>688</v>
      </c>
      <c r="E183" s="14" t="s">
        <v>688</v>
      </c>
      <c r="F183" s="14" t="s">
        <v>373</v>
      </c>
      <c r="G183" s="14" t="s">
        <v>374</v>
      </c>
      <c r="H183" s="15">
        <f>ROUND(SUMPRODUCT(SUMIF(Final!$G$4:$G$330,CashReserveLevy!D183:F183,Final!$C$4:$C$330)),0)</f>
        <v>19413207</v>
      </c>
      <c r="I183" s="15">
        <f t="shared" si="15"/>
        <v>3882641</v>
      </c>
      <c r="J183" s="15">
        <f>ROUND(SUMPRODUCT(SUMIF(Final!$G$4:$G$330,CashReserveLevy!D183:F183,Final!$E$4:$E$330)),0)</f>
        <v>3779692</v>
      </c>
      <c r="K183" s="15">
        <f t="shared" si="16"/>
        <v>102949</v>
      </c>
      <c r="L183" s="37">
        <f>INDEX(ActualCRLevy_SAS!$A$2:$D$326,MATCH(CashReserveLevy!$C183,ActualCRLevy_SAS!$B$2:$B$326,0),4)</f>
        <v>102949</v>
      </c>
      <c r="M183" s="38" t="str">
        <f t="shared" si="17"/>
        <v>Max</v>
      </c>
      <c r="N183" s="17" t="str">
        <f t="shared" si="18"/>
        <v/>
      </c>
      <c r="O183" s="17" t="str">
        <f t="shared" si="21"/>
        <v/>
      </c>
      <c r="Q183" s="36">
        <f t="shared" si="19"/>
        <v>0</v>
      </c>
      <c r="U183" s="37">
        <v>102949</v>
      </c>
      <c r="V183" s="36">
        <f t="shared" si="20"/>
        <v>0</v>
      </c>
    </row>
    <row r="184" spans="1:22" x14ac:dyDescent="0.2">
      <c r="A184" s="14">
        <v>2024</v>
      </c>
      <c r="B184" s="14" t="s">
        <v>8</v>
      </c>
      <c r="C184" s="14" t="s">
        <v>375</v>
      </c>
      <c r="D184" s="14" t="s">
        <v>688</v>
      </c>
      <c r="E184" s="14" t="s">
        <v>688</v>
      </c>
      <c r="F184" s="14" t="s">
        <v>375</v>
      </c>
      <c r="G184" s="14" t="s">
        <v>376</v>
      </c>
      <c r="H184" s="15">
        <f>ROUND(SUMPRODUCT(SUMIF(Final!$G$4:$G$330,CashReserveLevy!D184:F184,Final!$C$4:$C$330)),0)</f>
        <v>11078679</v>
      </c>
      <c r="I184" s="15">
        <f t="shared" si="15"/>
        <v>2215736</v>
      </c>
      <c r="J184" s="15">
        <f>ROUND(SUMPRODUCT(SUMIF(Final!$G$4:$G$330,CashReserveLevy!D184:F184,Final!$E$4:$E$330)),0)</f>
        <v>1909124</v>
      </c>
      <c r="K184" s="15">
        <f t="shared" si="16"/>
        <v>306612</v>
      </c>
      <c r="L184" s="37">
        <f>INDEX(ActualCRLevy_SAS!$A$2:$D$326,MATCH(CashReserveLevy!$C184,ActualCRLevy_SAS!$B$2:$B$326,0),4)</f>
        <v>306612</v>
      </c>
      <c r="M184" s="38" t="str">
        <f t="shared" si="17"/>
        <v>Max</v>
      </c>
      <c r="N184" s="17" t="str">
        <f t="shared" si="18"/>
        <v/>
      </c>
      <c r="O184" s="17" t="str">
        <f t="shared" si="21"/>
        <v/>
      </c>
      <c r="Q184" s="36">
        <f t="shared" si="19"/>
        <v>0</v>
      </c>
      <c r="U184" s="37">
        <v>306612</v>
      </c>
      <c r="V184" s="36">
        <f t="shared" si="20"/>
        <v>0</v>
      </c>
    </row>
    <row r="185" spans="1:22" x14ac:dyDescent="0.2">
      <c r="A185" s="14">
        <v>2024</v>
      </c>
      <c r="B185" s="14" t="s">
        <v>11</v>
      </c>
      <c r="C185" s="14" t="s">
        <v>377</v>
      </c>
      <c r="D185" s="14" t="s">
        <v>688</v>
      </c>
      <c r="E185" s="14" t="s">
        <v>688</v>
      </c>
      <c r="F185" s="14" t="s">
        <v>377</v>
      </c>
      <c r="G185" s="14" t="s">
        <v>378</v>
      </c>
      <c r="H185" s="15">
        <f>ROUND(SUMPRODUCT(SUMIF(Final!$G$4:$G$330,CashReserveLevy!D185:F185,Final!$C$4:$C$330)),0)</f>
        <v>18382353</v>
      </c>
      <c r="I185" s="15">
        <f t="shared" si="15"/>
        <v>3676471</v>
      </c>
      <c r="J185" s="15">
        <f>ROUND(SUMPRODUCT(SUMIF(Final!$G$4:$G$330,CashReserveLevy!D185:F185,Final!$E$4:$E$330)),0)</f>
        <v>4525396</v>
      </c>
      <c r="K185" s="15">
        <f t="shared" si="16"/>
        <v>0</v>
      </c>
      <c r="L185" s="37">
        <f>INDEX(ActualCRLevy_SAS!$A$2:$D$326,MATCH(CashReserveLevy!$C185,ActualCRLevy_SAS!$B$2:$B$326,0),4)</f>
        <v>0</v>
      </c>
      <c r="M185" s="38" t="str">
        <f t="shared" si="17"/>
        <v/>
      </c>
      <c r="N185" s="17" t="str">
        <f t="shared" si="18"/>
        <v/>
      </c>
      <c r="O185" s="17" t="str">
        <f t="shared" si="21"/>
        <v/>
      </c>
      <c r="Q185" s="36">
        <f t="shared" si="19"/>
        <v>0</v>
      </c>
      <c r="U185" s="37">
        <v>0</v>
      </c>
      <c r="V185" s="36">
        <f t="shared" si="20"/>
        <v>0</v>
      </c>
    </row>
    <row r="186" spans="1:22" x14ac:dyDescent="0.2">
      <c r="A186" s="14">
        <v>2024</v>
      </c>
      <c r="B186" s="14" t="s">
        <v>5</v>
      </c>
      <c r="C186" s="14" t="s">
        <v>379</v>
      </c>
      <c r="D186" s="14" t="s">
        <v>688</v>
      </c>
      <c r="E186" s="14" t="s">
        <v>688</v>
      </c>
      <c r="F186" s="14" t="s">
        <v>379</v>
      </c>
      <c r="G186" s="14" t="s">
        <v>380</v>
      </c>
      <c r="H186" s="15">
        <f>ROUND(SUMPRODUCT(SUMIF(Final!$G$4:$G$330,CashReserveLevy!D186:F186,Final!$C$4:$C$330)),0)</f>
        <v>6307904</v>
      </c>
      <c r="I186" s="15">
        <f t="shared" si="15"/>
        <v>1261581</v>
      </c>
      <c r="J186" s="15">
        <f>ROUND(SUMPRODUCT(SUMIF(Final!$G$4:$G$330,CashReserveLevy!D186:F186,Final!$E$4:$E$330)),0)</f>
        <v>2126307</v>
      </c>
      <c r="K186" s="15">
        <f t="shared" si="16"/>
        <v>0</v>
      </c>
      <c r="L186" s="37">
        <f>INDEX(ActualCRLevy_SAS!$A$2:$D$326,MATCH(CashReserveLevy!$C186,ActualCRLevy_SAS!$B$2:$B$326,0),4)</f>
        <v>0</v>
      </c>
      <c r="M186" s="38" t="str">
        <f t="shared" si="17"/>
        <v/>
      </c>
      <c r="N186" s="17" t="str">
        <f t="shared" si="18"/>
        <v/>
      </c>
      <c r="O186" s="17" t="str">
        <f t="shared" si="21"/>
        <v/>
      </c>
      <c r="Q186" s="36">
        <f t="shared" si="19"/>
        <v>0</v>
      </c>
      <c r="U186" s="37">
        <v>0</v>
      </c>
      <c r="V186" s="36">
        <f t="shared" si="20"/>
        <v>0</v>
      </c>
    </row>
    <row r="187" spans="1:22" x14ac:dyDescent="0.2">
      <c r="A187" s="14">
        <v>2024</v>
      </c>
      <c r="B187" s="14" t="s">
        <v>20</v>
      </c>
      <c r="C187" s="14" t="s">
        <v>381</v>
      </c>
      <c r="D187" s="14" t="s">
        <v>688</v>
      </c>
      <c r="E187" s="14" t="s">
        <v>688</v>
      </c>
      <c r="F187" s="14" t="s">
        <v>381</v>
      </c>
      <c r="G187" s="14" t="s">
        <v>382</v>
      </c>
      <c r="H187" s="15">
        <f>ROUND(SUMPRODUCT(SUMIF(Final!$G$4:$G$330,CashReserveLevy!D187:F187,Final!$C$4:$C$330)),0)</f>
        <v>13545830</v>
      </c>
      <c r="I187" s="15">
        <f t="shared" si="15"/>
        <v>2709166</v>
      </c>
      <c r="J187" s="15">
        <f>ROUND(SUMPRODUCT(SUMIF(Final!$G$4:$G$330,CashReserveLevy!D187:F187,Final!$E$4:$E$330)),0)</f>
        <v>1767576</v>
      </c>
      <c r="K187" s="15">
        <f t="shared" si="16"/>
        <v>941590</v>
      </c>
      <c r="L187" s="37">
        <f>INDEX(ActualCRLevy_SAS!$A$2:$D$326,MATCH(CashReserveLevy!$C187,ActualCRLevy_SAS!$B$2:$B$326,0),4)</f>
        <v>584438</v>
      </c>
      <c r="M187" s="38" t="str">
        <f t="shared" si="17"/>
        <v/>
      </c>
      <c r="N187" s="17" t="str">
        <f t="shared" si="18"/>
        <v/>
      </c>
      <c r="O187" s="17" t="str">
        <f t="shared" si="21"/>
        <v/>
      </c>
      <c r="Q187" s="36">
        <f t="shared" si="19"/>
        <v>357152</v>
      </c>
      <c r="U187" s="37">
        <v>941590</v>
      </c>
      <c r="V187" s="36">
        <f t="shared" si="20"/>
        <v>0</v>
      </c>
    </row>
    <row r="188" spans="1:22" x14ac:dyDescent="0.2">
      <c r="A188" s="14">
        <v>2024</v>
      </c>
      <c r="B188" s="14" t="s">
        <v>17</v>
      </c>
      <c r="C188" s="14" t="s">
        <v>383</v>
      </c>
      <c r="D188" s="14" t="s">
        <v>688</v>
      </c>
      <c r="E188" s="14" t="s">
        <v>688</v>
      </c>
      <c r="F188" s="14" t="s">
        <v>383</v>
      </c>
      <c r="G188" s="14" t="s">
        <v>384</v>
      </c>
      <c r="H188" s="15">
        <f>ROUND(SUMPRODUCT(SUMIF(Final!$G$4:$G$330,CashReserveLevy!D188:F188,Final!$C$4:$C$330)),0)</f>
        <v>5209508</v>
      </c>
      <c r="I188" s="15">
        <f t="shared" si="15"/>
        <v>1041902</v>
      </c>
      <c r="J188" s="15">
        <f>ROUND(SUMPRODUCT(SUMIF(Final!$G$4:$G$330,CashReserveLevy!D188:F188,Final!$E$4:$E$330)),0)</f>
        <v>2210049</v>
      </c>
      <c r="K188" s="15">
        <f t="shared" si="16"/>
        <v>0</v>
      </c>
      <c r="L188" s="37">
        <f>INDEX(ActualCRLevy_SAS!$A$2:$D$326,MATCH(CashReserveLevy!$C188,ActualCRLevy_SAS!$B$2:$B$326,0),4)</f>
        <v>0</v>
      </c>
      <c r="M188" s="38" t="str">
        <f t="shared" si="17"/>
        <v/>
      </c>
      <c r="N188" s="17" t="str">
        <f t="shared" si="18"/>
        <v/>
      </c>
      <c r="O188" s="17" t="str">
        <f t="shared" si="21"/>
        <v/>
      </c>
      <c r="Q188" s="36">
        <f t="shared" si="19"/>
        <v>0</v>
      </c>
      <c r="U188" s="37">
        <v>0</v>
      </c>
      <c r="V188" s="36">
        <f t="shared" si="20"/>
        <v>0</v>
      </c>
    </row>
    <row r="189" spans="1:22" x14ac:dyDescent="0.2">
      <c r="A189" s="14">
        <v>2024</v>
      </c>
      <c r="B189" s="14" t="s">
        <v>8</v>
      </c>
      <c r="C189" s="14" t="s">
        <v>385</v>
      </c>
      <c r="D189" s="14" t="s">
        <v>688</v>
      </c>
      <c r="E189" s="14" t="s">
        <v>688</v>
      </c>
      <c r="F189" s="14" t="s">
        <v>385</v>
      </c>
      <c r="G189" s="14" t="s">
        <v>386</v>
      </c>
      <c r="H189" s="15">
        <f>ROUND(SUMPRODUCT(SUMIF(Final!$G$4:$G$330,CashReserveLevy!D189:F189,Final!$C$4:$C$330)),0)</f>
        <v>4059873</v>
      </c>
      <c r="I189" s="15">
        <f t="shared" si="15"/>
        <v>811975</v>
      </c>
      <c r="J189" s="15">
        <f>ROUND(SUMPRODUCT(SUMIF(Final!$G$4:$G$330,CashReserveLevy!D189:F189,Final!$E$4:$E$330)),0)</f>
        <v>974258</v>
      </c>
      <c r="K189" s="15">
        <f t="shared" si="16"/>
        <v>0</v>
      </c>
      <c r="L189" s="37">
        <f>INDEX(ActualCRLevy_SAS!$A$2:$D$326,MATCH(CashReserveLevy!$C189,ActualCRLevy_SAS!$B$2:$B$326,0),4)</f>
        <v>0</v>
      </c>
      <c r="M189" s="38" t="str">
        <f t="shared" si="17"/>
        <v/>
      </c>
      <c r="N189" s="17" t="str">
        <f t="shared" si="18"/>
        <v/>
      </c>
      <c r="O189" s="17" t="str">
        <f t="shared" si="21"/>
        <v/>
      </c>
      <c r="Q189" s="36">
        <f t="shared" si="19"/>
        <v>0</v>
      </c>
      <c r="U189" s="37">
        <v>0</v>
      </c>
      <c r="V189" s="36">
        <f t="shared" si="20"/>
        <v>0</v>
      </c>
    </row>
    <row r="190" spans="1:22" x14ac:dyDescent="0.2">
      <c r="A190" s="14">
        <v>2024</v>
      </c>
      <c r="B190" s="14" t="s">
        <v>17</v>
      </c>
      <c r="C190" s="14" t="s">
        <v>387</v>
      </c>
      <c r="D190" s="14" t="s">
        <v>688</v>
      </c>
      <c r="E190" s="14" t="s">
        <v>688</v>
      </c>
      <c r="F190" s="14" t="s">
        <v>387</v>
      </c>
      <c r="G190" s="14" t="s">
        <v>388</v>
      </c>
      <c r="H190" s="15">
        <f>ROUND(SUMPRODUCT(SUMIF(Final!$G$4:$G$330,CashReserveLevy!D190:F190,Final!$C$4:$C$330)),0)</f>
        <v>2580079</v>
      </c>
      <c r="I190" s="15">
        <f t="shared" si="15"/>
        <v>516016</v>
      </c>
      <c r="J190" s="15">
        <f>ROUND(SUMPRODUCT(SUMIF(Final!$G$4:$G$330,CashReserveLevy!D190:F190,Final!$E$4:$E$330)),0)</f>
        <v>1757438</v>
      </c>
      <c r="K190" s="15">
        <f t="shared" si="16"/>
        <v>0</v>
      </c>
      <c r="L190" s="37">
        <f>INDEX(ActualCRLevy_SAS!$A$2:$D$326,MATCH(CashReserveLevy!$C190,ActualCRLevy_SAS!$B$2:$B$326,0),4)</f>
        <v>0</v>
      </c>
      <c r="M190" s="38" t="str">
        <f t="shared" si="17"/>
        <v/>
      </c>
      <c r="N190" s="17" t="str">
        <f t="shared" si="18"/>
        <v/>
      </c>
      <c r="O190" s="17" t="str">
        <f t="shared" si="21"/>
        <v/>
      </c>
      <c r="Q190" s="36">
        <f t="shared" si="19"/>
        <v>0</v>
      </c>
      <c r="U190" s="37">
        <v>0</v>
      </c>
      <c r="V190" s="36">
        <f t="shared" si="20"/>
        <v>0</v>
      </c>
    </row>
    <row r="191" spans="1:22" x14ac:dyDescent="0.2">
      <c r="A191" s="14">
        <v>2024</v>
      </c>
      <c r="B191" s="14" t="s">
        <v>17</v>
      </c>
      <c r="C191" s="14" t="s">
        <v>389</v>
      </c>
      <c r="D191" s="14" t="s">
        <v>688</v>
      </c>
      <c r="E191" s="14" t="s">
        <v>688</v>
      </c>
      <c r="F191" s="14" t="s">
        <v>389</v>
      </c>
      <c r="G191" s="14" t="s">
        <v>390</v>
      </c>
      <c r="H191" s="15">
        <f>ROUND(SUMPRODUCT(SUMIF(Final!$G$4:$G$330,CashReserveLevy!D191:F191,Final!$C$4:$C$330)),0)</f>
        <v>3026018</v>
      </c>
      <c r="I191" s="15">
        <f t="shared" si="15"/>
        <v>605204</v>
      </c>
      <c r="J191" s="15">
        <f>ROUND(SUMPRODUCT(SUMIF(Final!$G$4:$G$330,CashReserveLevy!D191:F191,Final!$E$4:$E$330)),0)</f>
        <v>402116</v>
      </c>
      <c r="K191" s="15">
        <f t="shared" si="16"/>
        <v>203088</v>
      </c>
      <c r="L191" s="37">
        <f>INDEX(ActualCRLevy_SAS!$A$2:$D$326,MATCH(CashReserveLevy!$C191,ActualCRLevy_SAS!$B$2:$B$326,0),4)</f>
        <v>203088</v>
      </c>
      <c r="M191" s="38" t="str">
        <f t="shared" si="17"/>
        <v>Max</v>
      </c>
      <c r="N191" s="17" t="str">
        <f t="shared" si="18"/>
        <v/>
      </c>
      <c r="O191" s="17" t="str">
        <f t="shared" si="21"/>
        <v/>
      </c>
      <c r="Q191" s="36">
        <f t="shared" si="19"/>
        <v>0</v>
      </c>
      <c r="U191" s="37">
        <v>203088</v>
      </c>
      <c r="V191" s="36">
        <f t="shared" si="20"/>
        <v>0</v>
      </c>
    </row>
    <row r="192" spans="1:22" x14ac:dyDescent="0.2">
      <c r="A192" s="14">
        <v>2024</v>
      </c>
      <c r="B192" s="14" t="s">
        <v>8</v>
      </c>
      <c r="C192" s="14" t="s">
        <v>391</v>
      </c>
      <c r="D192" s="14" t="s">
        <v>688</v>
      </c>
      <c r="E192" s="14" t="s">
        <v>688</v>
      </c>
      <c r="F192" s="14" t="s">
        <v>391</v>
      </c>
      <c r="G192" s="14" t="s">
        <v>392</v>
      </c>
      <c r="H192" s="15">
        <f>ROUND(SUMPRODUCT(SUMIF(Final!$G$4:$G$330,CashReserveLevy!D192:F192,Final!$C$4:$C$330)),0)</f>
        <v>8969442</v>
      </c>
      <c r="I192" s="15">
        <f t="shared" si="15"/>
        <v>1793888</v>
      </c>
      <c r="J192" s="15">
        <f>ROUND(SUMPRODUCT(SUMIF(Final!$G$4:$G$330,CashReserveLevy!D192:F192,Final!$E$4:$E$330)),0)</f>
        <v>2478054</v>
      </c>
      <c r="K192" s="15">
        <f t="shared" si="16"/>
        <v>0</v>
      </c>
      <c r="L192" s="37">
        <f>INDEX(ActualCRLevy_SAS!$A$2:$D$326,MATCH(CashReserveLevy!$C192,ActualCRLevy_SAS!$B$2:$B$326,0),4)</f>
        <v>0</v>
      </c>
      <c r="M192" s="38" t="str">
        <f t="shared" si="17"/>
        <v/>
      </c>
      <c r="N192" s="17" t="str">
        <f t="shared" si="18"/>
        <v/>
      </c>
      <c r="O192" s="17" t="str">
        <f t="shared" si="21"/>
        <v/>
      </c>
      <c r="Q192" s="36">
        <f t="shared" si="19"/>
        <v>0</v>
      </c>
      <c r="U192" s="37">
        <v>0</v>
      </c>
      <c r="V192" s="36">
        <f t="shared" si="20"/>
        <v>0</v>
      </c>
    </row>
    <row r="193" spans="1:22" x14ac:dyDescent="0.2">
      <c r="A193" s="14">
        <v>2024</v>
      </c>
      <c r="B193" s="14" t="s">
        <v>17</v>
      </c>
      <c r="C193" s="14" t="s">
        <v>393</v>
      </c>
      <c r="D193" s="14" t="s">
        <v>688</v>
      </c>
      <c r="E193" s="14" t="s">
        <v>688</v>
      </c>
      <c r="F193" s="14" t="s">
        <v>393</v>
      </c>
      <c r="G193" s="14" t="s">
        <v>394</v>
      </c>
      <c r="H193" s="15">
        <f>ROUND(SUMPRODUCT(SUMIF(Final!$G$4:$G$330,CashReserveLevy!D193:F193,Final!$C$4:$C$330)),0)</f>
        <v>24307106</v>
      </c>
      <c r="I193" s="15">
        <f t="shared" si="15"/>
        <v>4861421</v>
      </c>
      <c r="J193" s="15">
        <f>ROUND(SUMPRODUCT(SUMIF(Final!$G$4:$G$330,CashReserveLevy!D193:F193,Final!$E$4:$E$330)),0)</f>
        <v>4107535</v>
      </c>
      <c r="K193" s="15">
        <f t="shared" si="16"/>
        <v>753886</v>
      </c>
      <c r="L193" s="37">
        <f>INDEX(ActualCRLevy_SAS!$A$2:$D$326,MATCH(CashReserveLevy!$C193,ActualCRLevy_SAS!$B$2:$B$326,0),4)</f>
        <v>750000</v>
      </c>
      <c r="M193" s="38" t="str">
        <f t="shared" si="17"/>
        <v/>
      </c>
      <c r="N193" s="17" t="str">
        <f t="shared" si="18"/>
        <v/>
      </c>
      <c r="O193" s="17" t="str">
        <f t="shared" si="21"/>
        <v/>
      </c>
      <c r="Q193" s="36">
        <f t="shared" si="19"/>
        <v>3886</v>
      </c>
      <c r="U193" s="37">
        <v>753886</v>
      </c>
      <c r="V193" s="36">
        <f t="shared" si="20"/>
        <v>0</v>
      </c>
    </row>
    <row r="194" spans="1:22" x14ac:dyDescent="0.2">
      <c r="A194" s="14">
        <v>2024</v>
      </c>
      <c r="B194" s="14" t="s">
        <v>20</v>
      </c>
      <c r="C194" s="14" t="s">
        <v>395</v>
      </c>
      <c r="D194" s="14" t="s">
        <v>688</v>
      </c>
      <c r="E194" s="14" t="s">
        <v>688</v>
      </c>
      <c r="F194" s="14" t="s">
        <v>395</v>
      </c>
      <c r="G194" s="14" t="s">
        <v>396</v>
      </c>
      <c r="H194" s="15">
        <f>ROUND(SUMPRODUCT(SUMIF(Final!$G$4:$G$330,CashReserveLevy!D194:F194,Final!$C$4:$C$330)),0)</f>
        <v>16648364</v>
      </c>
      <c r="I194" s="15">
        <f t="shared" si="15"/>
        <v>3329673</v>
      </c>
      <c r="J194" s="15">
        <f>ROUND(SUMPRODUCT(SUMIF(Final!$G$4:$G$330,CashReserveLevy!D194:F194,Final!$E$4:$E$330)),0)</f>
        <v>1836287</v>
      </c>
      <c r="K194" s="15">
        <f t="shared" si="16"/>
        <v>1493386</v>
      </c>
      <c r="L194" s="37">
        <f>INDEX(ActualCRLevy_SAS!$A$2:$D$326,MATCH(CashReserveLevy!$C194,ActualCRLevy_SAS!$B$2:$B$326,0),4)</f>
        <v>787972</v>
      </c>
      <c r="M194" s="38" t="str">
        <f t="shared" si="17"/>
        <v/>
      </c>
      <c r="N194" s="17" t="str">
        <f t="shared" si="18"/>
        <v/>
      </c>
      <c r="O194" s="17" t="str">
        <f t="shared" si="21"/>
        <v/>
      </c>
      <c r="Q194" s="36">
        <f t="shared" si="19"/>
        <v>705414</v>
      </c>
      <c r="U194" s="37">
        <v>1493386</v>
      </c>
      <c r="V194" s="36">
        <f t="shared" si="20"/>
        <v>0</v>
      </c>
    </row>
    <row r="195" spans="1:22" x14ac:dyDescent="0.2">
      <c r="A195" s="14">
        <v>2024</v>
      </c>
      <c r="B195" s="14" t="s">
        <v>8</v>
      </c>
      <c r="C195" s="14" t="s">
        <v>397</v>
      </c>
      <c r="D195" s="14" t="s">
        <v>688</v>
      </c>
      <c r="E195" s="14" t="s">
        <v>688</v>
      </c>
      <c r="F195" s="14" t="s">
        <v>397</v>
      </c>
      <c r="G195" s="14" t="s">
        <v>398</v>
      </c>
      <c r="H195" s="15">
        <f>ROUND(SUMPRODUCT(SUMIF(Final!$G$4:$G$330,CashReserveLevy!D195:F195,Final!$C$4:$C$330)),0)</f>
        <v>3758442</v>
      </c>
      <c r="I195" s="15">
        <f t="shared" si="15"/>
        <v>751688</v>
      </c>
      <c r="J195" s="15">
        <f>ROUND(SUMPRODUCT(SUMIF(Final!$G$4:$G$330,CashReserveLevy!D195:F195,Final!$E$4:$E$330)),0)</f>
        <v>1682641</v>
      </c>
      <c r="K195" s="15">
        <f t="shared" si="16"/>
        <v>0</v>
      </c>
      <c r="L195" s="37">
        <f>INDEX(ActualCRLevy_SAS!$A$2:$D$326,MATCH(CashReserveLevy!$C195,ActualCRLevy_SAS!$B$2:$B$326,0),4)</f>
        <v>0</v>
      </c>
      <c r="M195" s="38" t="str">
        <f t="shared" si="17"/>
        <v/>
      </c>
      <c r="N195" s="17" t="str">
        <f t="shared" si="18"/>
        <v/>
      </c>
      <c r="O195" s="17" t="str">
        <f t="shared" si="21"/>
        <v/>
      </c>
      <c r="Q195" s="36">
        <f t="shared" si="19"/>
        <v>0</v>
      </c>
      <c r="U195" s="37">
        <v>0</v>
      </c>
      <c r="V195" s="36">
        <f t="shared" si="20"/>
        <v>0</v>
      </c>
    </row>
    <row r="196" spans="1:22" x14ac:dyDescent="0.2">
      <c r="A196" s="14">
        <v>2024</v>
      </c>
      <c r="B196" s="14" t="s">
        <v>37</v>
      </c>
      <c r="C196" s="14" t="s">
        <v>399</v>
      </c>
      <c r="D196" s="14" t="s">
        <v>688</v>
      </c>
      <c r="E196" s="14" t="s">
        <v>688</v>
      </c>
      <c r="F196" s="14" t="s">
        <v>399</v>
      </c>
      <c r="G196" s="14" t="s">
        <v>400</v>
      </c>
      <c r="H196" s="15">
        <f>ROUND(SUMPRODUCT(SUMIF(Final!$G$4:$G$330,CashReserveLevy!D196:F196,Final!$C$4:$C$330)),0)</f>
        <v>58188534</v>
      </c>
      <c r="I196" s="15">
        <f t="shared" ref="I196:I259" si="22">ROUND(H196*0.2,0)</f>
        <v>11637707</v>
      </c>
      <c r="J196" s="15">
        <f>ROUND(SUMPRODUCT(SUMIF(Final!$G$4:$G$330,CashReserveLevy!D196:F196,Final!$E$4:$E$330)),0)</f>
        <v>10916991</v>
      </c>
      <c r="K196" s="15">
        <f t="shared" ref="K196:K259" si="23">IF(I196&gt;J196,I196-J196,0)</f>
        <v>720716</v>
      </c>
      <c r="L196" s="37">
        <f>INDEX(ActualCRLevy_SAS!$A$2:$D$326,MATCH(CashReserveLevy!$C196,ActualCRLevy_SAS!$B$2:$B$326,0),4)</f>
        <v>720716</v>
      </c>
      <c r="M196" s="38" t="str">
        <f t="shared" ref="M196:M259" si="24">IF(AND(L196=K196,K196&gt;0),"Max","")</f>
        <v>Max</v>
      </c>
      <c r="N196" s="17" t="str">
        <f t="shared" ref="N196:N259" si="25">IF(AND(L196&lt;K196,L196=0),"No Levy but have Capacity","")</f>
        <v/>
      </c>
      <c r="O196" s="17" t="str">
        <f t="shared" si="21"/>
        <v/>
      </c>
      <c r="Q196" s="36">
        <f t="shared" ref="Q196:Q259" si="26">K196-L196</f>
        <v>0</v>
      </c>
      <c r="U196" s="37">
        <v>720716</v>
      </c>
      <c r="V196" s="36">
        <f t="shared" ref="V196:V259" si="27">K196-U196</f>
        <v>0</v>
      </c>
    </row>
    <row r="197" spans="1:22" x14ac:dyDescent="0.2">
      <c r="A197" s="14">
        <v>2024</v>
      </c>
      <c r="B197" s="14" t="s">
        <v>5</v>
      </c>
      <c r="C197" s="14" t="s">
        <v>401</v>
      </c>
      <c r="D197" s="14" t="s">
        <v>688</v>
      </c>
      <c r="E197" s="14" t="s">
        <v>688</v>
      </c>
      <c r="F197" s="14" t="s">
        <v>401</v>
      </c>
      <c r="G197" s="14" t="s">
        <v>402</v>
      </c>
      <c r="H197" s="15">
        <f>ROUND(SUMPRODUCT(SUMIF(Final!$G$4:$G$330,CashReserveLevy!D197:F197,Final!$C$4:$C$330)),0)</f>
        <v>7836648</v>
      </c>
      <c r="I197" s="15">
        <f t="shared" si="22"/>
        <v>1567330</v>
      </c>
      <c r="J197" s="15">
        <f>ROUND(SUMPRODUCT(SUMIF(Final!$G$4:$G$330,CashReserveLevy!D197:F197,Final!$E$4:$E$330)),0)</f>
        <v>2334123</v>
      </c>
      <c r="K197" s="15">
        <f t="shared" si="23"/>
        <v>0</v>
      </c>
      <c r="L197" s="37">
        <f>INDEX(ActualCRLevy_SAS!$A$2:$D$326,MATCH(CashReserveLevy!$C197,ActualCRLevy_SAS!$B$2:$B$326,0),4)</f>
        <v>0</v>
      </c>
      <c r="M197" s="38" t="str">
        <f t="shared" si="24"/>
        <v/>
      </c>
      <c r="N197" s="17" t="str">
        <f t="shared" si="25"/>
        <v/>
      </c>
      <c r="O197" s="17" t="str">
        <f t="shared" si="21"/>
        <v/>
      </c>
      <c r="Q197" s="36">
        <f t="shared" si="26"/>
        <v>0</v>
      </c>
      <c r="U197" s="37">
        <v>0</v>
      </c>
      <c r="V197" s="36">
        <f t="shared" si="27"/>
        <v>0</v>
      </c>
    </row>
    <row r="198" spans="1:22" x14ac:dyDescent="0.2">
      <c r="A198" s="14">
        <v>2024</v>
      </c>
      <c r="B198" s="14" t="s">
        <v>0</v>
      </c>
      <c r="C198" s="14" t="s">
        <v>403</v>
      </c>
      <c r="D198" s="14" t="s">
        <v>688</v>
      </c>
      <c r="E198" s="14" t="s">
        <v>688</v>
      </c>
      <c r="F198" s="14" t="s">
        <v>403</v>
      </c>
      <c r="G198" s="14" t="s">
        <v>404</v>
      </c>
      <c r="H198" s="15">
        <f>ROUND(SUMPRODUCT(SUMIF(Final!$G$4:$G$330,CashReserveLevy!D198:F198,Final!$C$4:$C$330)),0)</f>
        <v>20576106</v>
      </c>
      <c r="I198" s="15">
        <f t="shared" si="22"/>
        <v>4115221</v>
      </c>
      <c r="J198" s="15">
        <f>ROUND(SUMPRODUCT(SUMIF(Final!$G$4:$G$330,CashReserveLevy!D198:F198,Final!$E$4:$E$330)),0)</f>
        <v>2661219</v>
      </c>
      <c r="K198" s="15">
        <f t="shared" si="23"/>
        <v>1454002</v>
      </c>
      <c r="L198" s="37">
        <f>INDEX(ActualCRLevy_SAS!$A$2:$D$326,MATCH(CashReserveLevy!$C198,ActualCRLevy_SAS!$B$2:$B$326,0),4)</f>
        <v>672410</v>
      </c>
      <c r="M198" s="38" t="str">
        <f t="shared" si="24"/>
        <v/>
      </c>
      <c r="N198" s="17" t="str">
        <f t="shared" si="25"/>
        <v/>
      </c>
      <c r="O198" s="17" t="str">
        <f t="shared" si="21"/>
        <v/>
      </c>
      <c r="Q198" s="36">
        <f t="shared" si="26"/>
        <v>781592</v>
      </c>
      <c r="U198" s="37">
        <v>1454002</v>
      </c>
      <c r="V198" s="36">
        <f t="shared" si="27"/>
        <v>0</v>
      </c>
    </row>
    <row r="199" spans="1:22" x14ac:dyDescent="0.2">
      <c r="A199" s="14">
        <v>2024</v>
      </c>
      <c r="B199" s="14" t="s">
        <v>28</v>
      </c>
      <c r="C199" s="14" t="s">
        <v>405</v>
      </c>
      <c r="D199" s="14" t="s">
        <v>688</v>
      </c>
      <c r="E199" s="14" t="s">
        <v>688</v>
      </c>
      <c r="F199" s="14" t="s">
        <v>405</v>
      </c>
      <c r="G199" s="14" t="s">
        <v>406</v>
      </c>
      <c r="H199" s="15">
        <f>ROUND(SUMPRODUCT(SUMIF(Final!$G$4:$G$330,CashReserveLevy!D199:F199,Final!$C$4:$C$330)),0)</f>
        <v>12785049</v>
      </c>
      <c r="I199" s="15">
        <f t="shared" si="22"/>
        <v>2557010</v>
      </c>
      <c r="J199" s="15">
        <f>ROUND(SUMPRODUCT(SUMIF(Final!$G$4:$G$330,CashReserveLevy!D199:F199,Final!$E$4:$E$330)),0)</f>
        <v>2089215</v>
      </c>
      <c r="K199" s="15">
        <f t="shared" si="23"/>
        <v>467795</v>
      </c>
      <c r="L199" s="37">
        <f>INDEX(ActualCRLevy_SAS!$A$2:$D$326,MATCH(CashReserveLevy!$C199,ActualCRLevy_SAS!$B$2:$B$326,0),4)</f>
        <v>225000</v>
      </c>
      <c r="M199" s="38" t="str">
        <f t="shared" si="24"/>
        <v/>
      </c>
      <c r="N199" s="17" t="str">
        <f t="shared" si="25"/>
        <v/>
      </c>
      <c r="O199" s="17" t="str">
        <f t="shared" si="21"/>
        <v/>
      </c>
      <c r="Q199" s="36">
        <f t="shared" si="26"/>
        <v>242795</v>
      </c>
      <c r="U199" s="37">
        <v>467795</v>
      </c>
      <c r="V199" s="36">
        <f t="shared" si="27"/>
        <v>0</v>
      </c>
    </row>
    <row r="200" spans="1:22" x14ac:dyDescent="0.2">
      <c r="A200" s="14">
        <v>2024</v>
      </c>
      <c r="B200" s="14" t="s">
        <v>17</v>
      </c>
      <c r="C200" s="14" t="s">
        <v>407</v>
      </c>
      <c r="D200" s="14" t="s">
        <v>688</v>
      </c>
      <c r="E200" s="14" t="s">
        <v>688</v>
      </c>
      <c r="F200" s="14" t="s">
        <v>407</v>
      </c>
      <c r="G200" s="14" t="s">
        <v>408</v>
      </c>
      <c r="H200" s="15">
        <f>ROUND(SUMPRODUCT(SUMIF(Final!$G$4:$G$330,CashReserveLevy!D200:F200,Final!$C$4:$C$330)),0)</f>
        <v>7290951</v>
      </c>
      <c r="I200" s="15">
        <f t="shared" si="22"/>
        <v>1458190</v>
      </c>
      <c r="J200" s="15">
        <f>ROUND(SUMPRODUCT(SUMIF(Final!$G$4:$G$330,CashReserveLevy!D200:F200,Final!$E$4:$E$330)),0)</f>
        <v>713146</v>
      </c>
      <c r="K200" s="15">
        <f t="shared" si="23"/>
        <v>745044</v>
      </c>
      <c r="L200" s="37">
        <f>INDEX(ActualCRLevy_SAS!$A$2:$D$326,MATCH(CashReserveLevy!$C200,ActualCRLevy_SAS!$B$2:$B$326,0),4)</f>
        <v>468662</v>
      </c>
      <c r="M200" s="38" t="str">
        <f t="shared" si="24"/>
        <v/>
      </c>
      <c r="N200" s="17" t="str">
        <f t="shared" si="25"/>
        <v/>
      </c>
      <c r="O200" s="17" t="str">
        <f t="shared" si="21"/>
        <v/>
      </c>
      <c r="Q200" s="36">
        <f t="shared" si="26"/>
        <v>276382</v>
      </c>
      <c r="U200" s="37">
        <v>745044</v>
      </c>
      <c r="V200" s="36">
        <f t="shared" si="27"/>
        <v>0</v>
      </c>
    </row>
    <row r="201" spans="1:22" x14ac:dyDescent="0.2">
      <c r="A201" s="14">
        <v>2024</v>
      </c>
      <c r="B201" s="14" t="s">
        <v>14</v>
      </c>
      <c r="C201" s="14" t="s">
        <v>409</v>
      </c>
      <c r="D201" s="14" t="s">
        <v>688</v>
      </c>
      <c r="E201" s="14" t="s">
        <v>688</v>
      </c>
      <c r="F201" s="14" t="s">
        <v>409</v>
      </c>
      <c r="G201" s="14" t="s">
        <v>410</v>
      </c>
      <c r="H201" s="15">
        <f>ROUND(SUMPRODUCT(SUMIF(Final!$G$4:$G$330,CashReserveLevy!D201:F201,Final!$C$4:$C$330)),0)</f>
        <v>6683334</v>
      </c>
      <c r="I201" s="15">
        <f t="shared" si="22"/>
        <v>1336667</v>
      </c>
      <c r="J201" s="15">
        <f>ROUND(SUMPRODUCT(SUMIF(Final!$G$4:$G$330,CashReserveLevy!D201:F201,Final!$E$4:$E$330)),0)</f>
        <v>695218</v>
      </c>
      <c r="K201" s="15">
        <f t="shared" si="23"/>
        <v>641449</v>
      </c>
      <c r="L201" s="37">
        <f>INDEX(ActualCRLevy_SAS!$A$2:$D$326,MATCH(CashReserveLevy!$C201,ActualCRLevy_SAS!$B$2:$B$326,0),4)</f>
        <v>641449</v>
      </c>
      <c r="M201" s="38" t="str">
        <f t="shared" si="24"/>
        <v>Max</v>
      </c>
      <c r="N201" s="17" t="str">
        <f t="shared" si="25"/>
        <v/>
      </c>
      <c r="O201" s="17" t="str">
        <f t="shared" si="21"/>
        <v/>
      </c>
      <c r="Q201" s="36">
        <f t="shared" si="26"/>
        <v>0</v>
      </c>
      <c r="U201" s="37">
        <v>641449</v>
      </c>
      <c r="V201" s="36">
        <f t="shared" si="27"/>
        <v>0</v>
      </c>
    </row>
    <row r="202" spans="1:22" x14ac:dyDescent="0.2">
      <c r="A202" s="14">
        <v>2024</v>
      </c>
      <c r="B202" s="14" t="s">
        <v>0</v>
      </c>
      <c r="C202" s="14" t="s">
        <v>411</v>
      </c>
      <c r="D202" s="14" t="s">
        <v>688</v>
      </c>
      <c r="E202" s="14" t="s">
        <v>688</v>
      </c>
      <c r="F202" s="14" t="s">
        <v>411</v>
      </c>
      <c r="G202" s="14" t="s">
        <v>412</v>
      </c>
      <c r="H202" s="15">
        <f>ROUND(SUMPRODUCT(SUMIF(Final!$G$4:$G$330,CashReserveLevy!D202:F202,Final!$C$4:$C$330)),0)</f>
        <v>37477808</v>
      </c>
      <c r="I202" s="15">
        <f t="shared" si="22"/>
        <v>7495562</v>
      </c>
      <c r="J202" s="15">
        <f>ROUND(SUMPRODUCT(SUMIF(Final!$G$4:$G$330,CashReserveLevy!D202:F202,Final!$E$4:$E$330)),0)</f>
        <v>4794835</v>
      </c>
      <c r="K202" s="15">
        <f t="shared" si="23"/>
        <v>2700727</v>
      </c>
      <c r="L202" s="37">
        <f>INDEX(ActualCRLevy_SAS!$A$2:$D$326,MATCH(CashReserveLevy!$C202,ActualCRLevy_SAS!$B$2:$B$326,0),4)</f>
        <v>936376</v>
      </c>
      <c r="M202" s="38" t="str">
        <f t="shared" si="24"/>
        <v/>
      </c>
      <c r="N202" s="17" t="str">
        <f t="shared" si="25"/>
        <v/>
      </c>
      <c r="O202" s="17" t="str">
        <f t="shared" si="21"/>
        <v/>
      </c>
      <c r="Q202" s="36">
        <f t="shared" si="26"/>
        <v>1764351</v>
      </c>
      <c r="U202" s="37">
        <v>2700727</v>
      </c>
      <c r="V202" s="36">
        <f t="shared" si="27"/>
        <v>0</v>
      </c>
    </row>
    <row r="203" spans="1:22" x14ac:dyDescent="0.2">
      <c r="A203" s="14">
        <v>2024</v>
      </c>
      <c r="B203" s="14" t="s">
        <v>8</v>
      </c>
      <c r="C203" s="14" t="s">
        <v>413</v>
      </c>
      <c r="D203" s="14" t="s">
        <v>688</v>
      </c>
      <c r="E203" s="14" t="s">
        <v>688</v>
      </c>
      <c r="F203" s="14" t="s">
        <v>413</v>
      </c>
      <c r="G203" s="14" t="s">
        <v>414</v>
      </c>
      <c r="H203" s="15">
        <f>ROUND(SUMPRODUCT(SUMIF(Final!$G$4:$G$330,CashReserveLevy!D203:F203,Final!$C$4:$C$330)),0)</f>
        <v>7811166</v>
      </c>
      <c r="I203" s="15">
        <f t="shared" si="22"/>
        <v>1562233</v>
      </c>
      <c r="J203" s="15">
        <f>ROUND(SUMPRODUCT(SUMIF(Final!$G$4:$G$330,CashReserveLevy!D203:F203,Final!$E$4:$E$330)),0)</f>
        <v>3979010</v>
      </c>
      <c r="K203" s="15">
        <f t="shared" si="23"/>
        <v>0</v>
      </c>
      <c r="L203" s="37">
        <f>INDEX(ActualCRLevy_SAS!$A$2:$D$326,MATCH(CashReserveLevy!$C203,ActualCRLevy_SAS!$B$2:$B$326,0),4)</f>
        <v>0</v>
      </c>
      <c r="M203" s="38" t="str">
        <f t="shared" si="24"/>
        <v/>
      </c>
      <c r="N203" s="17" t="str">
        <f t="shared" si="25"/>
        <v/>
      </c>
      <c r="O203" s="17" t="str">
        <f t="shared" si="21"/>
        <v/>
      </c>
      <c r="Q203" s="36">
        <f t="shared" si="26"/>
        <v>0</v>
      </c>
      <c r="U203" s="37">
        <v>0</v>
      </c>
      <c r="V203" s="36">
        <f t="shared" si="27"/>
        <v>0</v>
      </c>
    </row>
    <row r="204" spans="1:22" x14ac:dyDescent="0.2">
      <c r="A204" s="14">
        <v>2024</v>
      </c>
      <c r="B204" s="14" t="s">
        <v>5</v>
      </c>
      <c r="C204" s="14" t="s">
        <v>415</v>
      </c>
      <c r="D204" s="14" t="s">
        <v>688</v>
      </c>
      <c r="E204" s="14" t="s">
        <v>688</v>
      </c>
      <c r="F204" s="14" t="s">
        <v>415</v>
      </c>
      <c r="G204" s="14" t="s">
        <v>416</v>
      </c>
      <c r="H204" s="15">
        <f>ROUND(SUMPRODUCT(SUMIF(Final!$G$4:$G$330,CashReserveLevy!D204:F204,Final!$C$4:$C$330)),0)</f>
        <v>8290296</v>
      </c>
      <c r="I204" s="15">
        <f t="shared" si="22"/>
        <v>1658059</v>
      </c>
      <c r="J204" s="15">
        <f>ROUND(SUMPRODUCT(SUMIF(Final!$G$4:$G$330,CashReserveLevy!D204:F204,Final!$E$4:$E$330)),0)</f>
        <v>1385554</v>
      </c>
      <c r="K204" s="15">
        <f t="shared" si="23"/>
        <v>272505</v>
      </c>
      <c r="L204" s="37">
        <f>INDEX(ActualCRLevy_SAS!$A$2:$D$326,MATCH(CashReserveLevy!$C204,ActualCRLevy_SAS!$B$2:$B$326,0),4)</f>
        <v>176894</v>
      </c>
      <c r="M204" s="38" t="str">
        <f t="shared" si="24"/>
        <v/>
      </c>
      <c r="N204" s="17" t="str">
        <f t="shared" si="25"/>
        <v/>
      </c>
      <c r="O204" s="17" t="str">
        <f t="shared" si="21"/>
        <v/>
      </c>
      <c r="Q204" s="36">
        <f t="shared" si="26"/>
        <v>95611</v>
      </c>
      <c r="U204" s="37">
        <v>272505</v>
      </c>
      <c r="V204" s="36">
        <f t="shared" si="27"/>
        <v>0</v>
      </c>
    </row>
    <row r="205" spans="1:22" x14ac:dyDescent="0.2">
      <c r="A205" s="14">
        <v>2024</v>
      </c>
      <c r="B205" s="14" t="s">
        <v>20</v>
      </c>
      <c r="C205" s="14" t="s">
        <v>417</v>
      </c>
      <c r="D205" s="14" t="s">
        <v>688</v>
      </c>
      <c r="E205" s="14" t="s">
        <v>688</v>
      </c>
      <c r="F205" s="14" t="s">
        <v>417</v>
      </c>
      <c r="G205" s="14" t="s">
        <v>418</v>
      </c>
      <c r="H205" s="15">
        <f>ROUND(SUMPRODUCT(SUMIF(Final!$G$4:$G$330,CashReserveLevy!D205:F205,Final!$C$4:$C$330)),0)</f>
        <v>10401231</v>
      </c>
      <c r="I205" s="15">
        <f t="shared" si="22"/>
        <v>2080246</v>
      </c>
      <c r="J205" s="15">
        <f>ROUND(SUMPRODUCT(SUMIF(Final!$G$4:$G$330,CashReserveLevy!D205:F205,Final!$E$4:$E$330)),0)</f>
        <v>752534</v>
      </c>
      <c r="K205" s="15">
        <f t="shared" si="23"/>
        <v>1327712</v>
      </c>
      <c r="L205" s="37">
        <f>INDEX(ActualCRLevy_SAS!$A$2:$D$326,MATCH(CashReserveLevy!$C205,ActualCRLevy_SAS!$B$2:$B$326,0),4)</f>
        <v>1090000</v>
      </c>
      <c r="M205" s="38" t="str">
        <f t="shared" si="24"/>
        <v/>
      </c>
      <c r="N205" s="17" t="str">
        <f t="shared" si="25"/>
        <v/>
      </c>
      <c r="O205" s="17" t="str">
        <f t="shared" ref="O205:O268" si="28">IF(L205&gt;K205,"Exceedes Maximum Limit","")</f>
        <v/>
      </c>
      <c r="Q205" s="36">
        <f t="shared" si="26"/>
        <v>237712</v>
      </c>
      <c r="U205" s="37">
        <v>1327712</v>
      </c>
      <c r="V205" s="36">
        <f t="shared" si="27"/>
        <v>0</v>
      </c>
    </row>
    <row r="206" spans="1:22" x14ac:dyDescent="0.2">
      <c r="A206" s="14">
        <v>2024</v>
      </c>
      <c r="B206" s="14" t="s">
        <v>28</v>
      </c>
      <c r="C206" s="14" t="s">
        <v>419</v>
      </c>
      <c r="D206" s="14" t="s">
        <v>688</v>
      </c>
      <c r="E206" s="14" t="s">
        <v>688</v>
      </c>
      <c r="F206" s="14" t="s">
        <v>419</v>
      </c>
      <c r="G206" s="14" t="s">
        <v>420</v>
      </c>
      <c r="H206" s="15">
        <f>ROUND(SUMPRODUCT(SUMIF(Final!$G$4:$G$330,CashReserveLevy!D206:F206,Final!$C$4:$C$330)),0)</f>
        <v>15034354</v>
      </c>
      <c r="I206" s="15">
        <f t="shared" si="22"/>
        <v>3006871</v>
      </c>
      <c r="J206" s="15">
        <f>ROUND(SUMPRODUCT(SUMIF(Final!$G$4:$G$330,CashReserveLevy!D206:F206,Final!$E$4:$E$330)),0)</f>
        <v>1374389</v>
      </c>
      <c r="K206" s="15">
        <f t="shared" si="23"/>
        <v>1632482</v>
      </c>
      <c r="L206" s="37">
        <f>INDEX(ActualCRLevy_SAS!$A$2:$D$326,MATCH(CashReserveLevy!$C206,ActualCRLevy_SAS!$B$2:$B$326,0),4)</f>
        <v>530513</v>
      </c>
      <c r="M206" s="38" t="str">
        <f t="shared" si="24"/>
        <v/>
      </c>
      <c r="N206" s="17" t="str">
        <f t="shared" si="25"/>
        <v/>
      </c>
      <c r="O206" s="17" t="str">
        <f t="shared" si="28"/>
        <v/>
      </c>
      <c r="Q206" s="36">
        <f t="shared" si="26"/>
        <v>1101969</v>
      </c>
      <c r="U206" s="37">
        <v>1632482</v>
      </c>
      <c r="V206" s="36">
        <f t="shared" si="27"/>
        <v>0</v>
      </c>
    </row>
    <row r="207" spans="1:22" x14ac:dyDescent="0.2">
      <c r="A207" s="14">
        <v>2024</v>
      </c>
      <c r="B207" s="14" t="s">
        <v>5</v>
      </c>
      <c r="C207" s="14" t="s">
        <v>421</v>
      </c>
      <c r="D207" s="14" t="s">
        <v>688</v>
      </c>
      <c r="E207" s="14" t="s">
        <v>688</v>
      </c>
      <c r="F207" s="14" t="s">
        <v>421</v>
      </c>
      <c r="G207" s="14" t="s">
        <v>422</v>
      </c>
      <c r="H207" s="15">
        <f>ROUND(SUMPRODUCT(SUMIF(Final!$G$4:$G$330,CashReserveLevy!D207:F207,Final!$C$4:$C$330)),0)</f>
        <v>6867143</v>
      </c>
      <c r="I207" s="15">
        <f t="shared" si="22"/>
        <v>1373429</v>
      </c>
      <c r="J207" s="15">
        <f>ROUND(SUMPRODUCT(SUMIF(Final!$G$4:$G$330,CashReserveLevy!D207:F207,Final!$E$4:$E$330)),0)</f>
        <v>1770484</v>
      </c>
      <c r="K207" s="15">
        <f t="shared" si="23"/>
        <v>0</v>
      </c>
      <c r="L207" s="37">
        <f>INDEX(ActualCRLevy_SAS!$A$2:$D$326,MATCH(CashReserveLevy!$C207,ActualCRLevy_SAS!$B$2:$B$326,0),4)</f>
        <v>0</v>
      </c>
      <c r="M207" s="38" t="str">
        <f t="shared" si="24"/>
        <v/>
      </c>
      <c r="N207" s="17" t="str">
        <f t="shared" si="25"/>
        <v/>
      </c>
      <c r="O207" s="17" t="str">
        <f t="shared" si="28"/>
        <v/>
      </c>
      <c r="Q207" s="36">
        <f t="shared" si="26"/>
        <v>0</v>
      </c>
      <c r="U207" s="37">
        <v>0</v>
      </c>
      <c r="V207" s="36">
        <f t="shared" si="27"/>
        <v>0</v>
      </c>
    </row>
    <row r="208" spans="1:22" x14ac:dyDescent="0.2">
      <c r="A208" s="14">
        <v>2024</v>
      </c>
      <c r="B208" s="14" t="s">
        <v>14</v>
      </c>
      <c r="C208" s="14" t="s">
        <v>423</v>
      </c>
      <c r="D208" s="14" t="s">
        <v>688</v>
      </c>
      <c r="E208" s="14" t="s">
        <v>688</v>
      </c>
      <c r="F208" s="14" t="s">
        <v>423</v>
      </c>
      <c r="G208" s="14" t="s">
        <v>424</v>
      </c>
      <c r="H208" s="15">
        <f>ROUND(SUMPRODUCT(SUMIF(Final!$G$4:$G$330,CashReserveLevy!D208:F208,Final!$C$4:$C$330)),0)</f>
        <v>5075612</v>
      </c>
      <c r="I208" s="15">
        <f t="shared" si="22"/>
        <v>1015122</v>
      </c>
      <c r="J208" s="15">
        <f>ROUND(SUMPRODUCT(SUMIF(Final!$G$4:$G$330,CashReserveLevy!D208:F208,Final!$E$4:$E$330)),0)</f>
        <v>1976278</v>
      </c>
      <c r="K208" s="15">
        <f t="shared" si="23"/>
        <v>0</v>
      </c>
      <c r="L208" s="37">
        <f>INDEX(ActualCRLevy_SAS!$A$2:$D$326,MATCH(CashReserveLevy!$C208,ActualCRLevy_SAS!$B$2:$B$326,0),4)</f>
        <v>0</v>
      </c>
      <c r="M208" s="38" t="str">
        <f t="shared" si="24"/>
        <v/>
      </c>
      <c r="N208" s="17" t="str">
        <f t="shared" si="25"/>
        <v/>
      </c>
      <c r="O208" s="17" t="str">
        <f t="shared" si="28"/>
        <v/>
      </c>
      <c r="Q208" s="36">
        <f t="shared" si="26"/>
        <v>0</v>
      </c>
      <c r="U208" s="37">
        <v>0</v>
      </c>
      <c r="V208" s="36">
        <f t="shared" si="27"/>
        <v>0</v>
      </c>
    </row>
    <row r="209" spans="1:22" x14ac:dyDescent="0.2">
      <c r="A209" s="14">
        <v>2024</v>
      </c>
      <c r="B209" s="14" t="s">
        <v>20</v>
      </c>
      <c r="C209" s="14" t="s">
        <v>425</v>
      </c>
      <c r="D209" s="14" t="s">
        <v>688</v>
      </c>
      <c r="E209" s="14" t="s">
        <v>688</v>
      </c>
      <c r="F209" s="14" t="s">
        <v>425</v>
      </c>
      <c r="G209" s="14" t="s">
        <v>426</v>
      </c>
      <c r="H209" s="15">
        <f>ROUND(SUMPRODUCT(SUMIF(Final!$G$4:$G$330,CashReserveLevy!D209:F209,Final!$C$4:$C$330)),0)</f>
        <v>7479804</v>
      </c>
      <c r="I209" s="15">
        <f t="shared" si="22"/>
        <v>1495961</v>
      </c>
      <c r="J209" s="15">
        <f>ROUND(SUMPRODUCT(SUMIF(Final!$G$4:$G$330,CashReserveLevy!D209:F209,Final!$E$4:$E$330)),0)</f>
        <v>4223130</v>
      </c>
      <c r="K209" s="15">
        <f t="shared" si="23"/>
        <v>0</v>
      </c>
      <c r="L209" s="37">
        <f>INDEX(ActualCRLevy_SAS!$A$2:$D$326,MATCH(CashReserveLevy!$C209,ActualCRLevy_SAS!$B$2:$B$326,0),4)</f>
        <v>0</v>
      </c>
      <c r="M209" s="38" t="str">
        <f t="shared" si="24"/>
        <v/>
      </c>
      <c r="N209" s="17" t="str">
        <f t="shared" si="25"/>
        <v/>
      </c>
      <c r="O209" s="17" t="str">
        <f t="shared" si="28"/>
        <v/>
      </c>
      <c r="Q209" s="36">
        <f t="shared" si="26"/>
        <v>0</v>
      </c>
      <c r="U209" s="37">
        <v>0</v>
      </c>
      <c r="V209" s="36">
        <f t="shared" si="27"/>
        <v>0</v>
      </c>
    </row>
    <row r="210" spans="1:22" x14ac:dyDescent="0.2">
      <c r="A210" s="14">
        <v>2024</v>
      </c>
      <c r="B210" s="14" t="s">
        <v>17</v>
      </c>
      <c r="C210" s="14" t="s">
        <v>427</v>
      </c>
      <c r="D210" s="14" t="s">
        <v>688</v>
      </c>
      <c r="E210" s="14" t="s">
        <v>688</v>
      </c>
      <c r="F210" s="14" t="s">
        <v>427</v>
      </c>
      <c r="G210" s="14" t="s">
        <v>428</v>
      </c>
      <c r="H210" s="15">
        <f>ROUND(SUMPRODUCT(SUMIF(Final!$G$4:$G$330,CashReserveLevy!D210:F210,Final!$C$4:$C$330)),0)</f>
        <v>7470120</v>
      </c>
      <c r="I210" s="15">
        <f t="shared" si="22"/>
        <v>1494024</v>
      </c>
      <c r="J210" s="15">
        <f>ROUND(SUMPRODUCT(SUMIF(Final!$G$4:$G$330,CashReserveLevy!D210:F210,Final!$E$4:$E$330)),0)</f>
        <v>2029997</v>
      </c>
      <c r="K210" s="15">
        <f t="shared" si="23"/>
        <v>0</v>
      </c>
      <c r="L210" s="37">
        <f>INDEX(ActualCRLevy_SAS!$A$2:$D$326,MATCH(CashReserveLevy!$C210,ActualCRLevy_SAS!$B$2:$B$326,0),4)</f>
        <v>0</v>
      </c>
      <c r="M210" s="38" t="str">
        <f t="shared" si="24"/>
        <v/>
      </c>
      <c r="N210" s="17" t="str">
        <f t="shared" si="25"/>
        <v/>
      </c>
      <c r="O210" s="17" t="str">
        <f t="shared" si="28"/>
        <v/>
      </c>
      <c r="Q210" s="36">
        <f t="shared" si="26"/>
        <v>0</v>
      </c>
      <c r="U210" s="37">
        <v>0</v>
      </c>
      <c r="V210" s="36">
        <f t="shared" si="27"/>
        <v>0</v>
      </c>
    </row>
    <row r="211" spans="1:22" x14ac:dyDescent="0.2">
      <c r="A211" s="14">
        <v>2024</v>
      </c>
      <c r="B211" s="14" t="s">
        <v>0</v>
      </c>
      <c r="C211" s="14" t="s">
        <v>429</v>
      </c>
      <c r="D211" s="14" t="s">
        <v>688</v>
      </c>
      <c r="E211" s="14" t="s">
        <v>688</v>
      </c>
      <c r="F211" s="14" t="s">
        <v>429</v>
      </c>
      <c r="G211" s="14" t="s">
        <v>430</v>
      </c>
      <c r="H211" s="15">
        <f>ROUND(SUMPRODUCT(SUMIF(Final!$G$4:$G$330,CashReserveLevy!D211:F211,Final!$C$4:$C$330)),0)</f>
        <v>23071825</v>
      </c>
      <c r="I211" s="15">
        <f t="shared" si="22"/>
        <v>4614365</v>
      </c>
      <c r="J211" s="15">
        <f>ROUND(SUMPRODUCT(SUMIF(Final!$G$4:$G$330,CashReserveLevy!D211:F211,Final!$E$4:$E$330)),0)</f>
        <v>1231747</v>
      </c>
      <c r="K211" s="15">
        <f t="shared" si="23"/>
        <v>3382618</v>
      </c>
      <c r="L211" s="37">
        <f>INDEX(ActualCRLevy_SAS!$A$2:$D$326,MATCH(CashReserveLevy!$C211,ActualCRLevy_SAS!$B$2:$B$326,0),4)</f>
        <v>2300599</v>
      </c>
      <c r="M211" s="38" t="str">
        <f t="shared" si="24"/>
        <v/>
      </c>
      <c r="N211" s="17" t="str">
        <f t="shared" si="25"/>
        <v/>
      </c>
      <c r="O211" s="17" t="str">
        <f t="shared" si="28"/>
        <v/>
      </c>
      <c r="Q211" s="36">
        <f t="shared" si="26"/>
        <v>1082019</v>
      </c>
      <c r="U211" s="37">
        <v>3382618</v>
      </c>
      <c r="V211" s="36">
        <f t="shared" si="27"/>
        <v>0</v>
      </c>
    </row>
    <row r="212" spans="1:22" x14ac:dyDescent="0.2">
      <c r="A212" s="14">
        <v>2024</v>
      </c>
      <c r="B212" s="14" t="s">
        <v>37</v>
      </c>
      <c r="C212" s="14" t="s">
        <v>431</v>
      </c>
      <c r="D212" s="14" t="s">
        <v>688</v>
      </c>
      <c r="E212" s="14" t="s">
        <v>688</v>
      </c>
      <c r="F212" s="14" t="s">
        <v>431</v>
      </c>
      <c r="G212" s="14" t="s">
        <v>432</v>
      </c>
      <c r="H212" s="15">
        <f>ROUND(SUMPRODUCT(SUMIF(Final!$G$4:$G$330,CashReserveLevy!D212:F212,Final!$C$4:$C$330)),0)</f>
        <v>37246952</v>
      </c>
      <c r="I212" s="15">
        <f t="shared" si="22"/>
        <v>7449390</v>
      </c>
      <c r="J212" s="15">
        <f>ROUND(SUMPRODUCT(SUMIF(Final!$G$4:$G$330,CashReserveLevy!D212:F212,Final!$E$4:$E$330)),0)</f>
        <v>7430663</v>
      </c>
      <c r="K212" s="15">
        <f t="shared" si="23"/>
        <v>18727</v>
      </c>
      <c r="L212" s="37">
        <f>INDEX(ActualCRLevy_SAS!$A$2:$D$326,MATCH(CashReserveLevy!$C212,ActualCRLevy_SAS!$B$2:$B$326,0),4)</f>
        <v>18727</v>
      </c>
      <c r="M212" s="38" t="str">
        <f t="shared" si="24"/>
        <v>Max</v>
      </c>
      <c r="N212" s="17" t="str">
        <f t="shared" si="25"/>
        <v/>
      </c>
      <c r="O212" s="17" t="str">
        <f t="shared" si="28"/>
        <v/>
      </c>
      <c r="Q212" s="36">
        <f t="shared" si="26"/>
        <v>0</v>
      </c>
      <c r="U212" s="37">
        <v>18727</v>
      </c>
      <c r="V212" s="36">
        <f t="shared" si="27"/>
        <v>0</v>
      </c>
    </row>
    <row r="213" spans="1:22" x14ac:dyDescent="0.2">
      <c r="A213" s="14">
        <v>2024</v>
      </c>
      <c r="B213" s="14" t="s">
        <v>5</v>
      </c>
      <c r="C213" s="14" t="s">
        <v>433</v>
      </c>
      <c r="D213" s="14" t="s">
        <v>688</v>
      </c>
      <c r="E213" s="14" t="s">
        <v>688</v>
      </c>
      <c r="F213" s="14" t="s">
        <v>433</v>
      </c>
      <c r="G213" s="14" t="s">
        <v>434</v>
      </c>
      <c r="H213" s="15">
        <f>ROUND(SUMPRODUCT(SUMIF(Final!$G$4:$G$330,CashReserveLevy!D213:F213,Final!$C$4:$C$330)),0)</f>
        <v>6476424</v>
      </c>
      <c r="I213" s="15">
        <f t="shared" si="22"/>
        <v>1295285</v>
      </c>
      <c r="J213" s="15">
        <f>ROUND(SUMPRODUCT(SUMIF(Final!$G$4:$G$330,CashReserveLevy!D213:F213,Final!$E$4:$E$330)),0)</f>
        <v>1336393</v>
      </c>
      <c r="K213" s="15">
        <f t="shared" si="23"/>
        <v>0</v>
      </c>
      <c r="L213" s="37">
        <f>INDEX(ActualCRLevy_SAS!$A$2:$D$326,MATCH(CashReserveLevy!$C213,ActualCRLevy_SAS!$B$2:$B$326,0),4)</f>
        <v>0</v>
      </c>
      <c r="M213" s="38" t="str">
        <f t="shared" si="24"/>
        <v/>
      </c>
      <c r="N213" s="17" t="str">
        <f t="shared" si="25"/>
        <v/>
      </c>
      <c r="O213" s="17" t="str">
        <f t="shared" si="28"/>
        <v/>
      </c>
      <c r="Q213" s="36">
        <f t="shared" si="26"/>
        <v>0</v>
      </c>
      <c r="U213" s="37">
        <v>0</v>
      </c>
      <c r="V213" s="36">
        <f t="shared" si="27"/>
        <v>0</v>
      </c>
    </row>
    <row r="214" spans="1:22" x14ac:dyDescent="0.2">
      <c r="A214" s="14">
        <v>2024</v>
      </c>
      <c r="B214" s="14" t="s">
        <v>14</v>
      </c>
      <c r="C214" s="14" t="s">
        <v>435</v>
      </c>
      <c r="D214" s="14" t="s">
        <v>688</v>
      </c>
      <c r="E214" s="14" t="s">
        <v>688</v>
      </c>
      <c r="F214" s="14" t="s">
        <v>435</v>
      </c>
      <c r="G214" s="14" t="s">
        <v>436</v>
      </c>
      <c r="H214" s="15">
        <f>ROUND(SUMPRODUCT(SUMIF(Final!$G$4:$G$330,CashReserveLevy!D214:F214,Final!$C$4:$C$330)),0)</f>
        <v>6337048</v>
      </c>
      <c r="I214" s="15">
        <f t="shared" si="22"/>
        <v>1267410</v>
      </c>
      <c r="J214" s="15">
        <f>ROUND(SUMPRODUCT(SUMIF(Final!$G$4:$G$330,CashReserveLevy!D214:F214,Final!$E$4:$E$330)),0)</f>
        <v>1772770</v>
      </c>
      <c r="K214" s="15">
        <f t="shared" si="23"/>
        <v>0</v>
      </c>
      <c r="L214" s="37">
        <f>INDEX(ActualCRLevy_SAS!$A$2:$D$326,MATCH(CashReserveLevy!$C214,ActualCRLevy_SAS!$B$2:$B$326,0),4)</f>
        <v>0</v>
      </c>
      <c r="M214" s="38" t="str">
        <f t="shared" si="24"/>
        <v/>
      </c>
      <c r="N214" s="17" t="str">
        <f t="shared" si="25"/>
        <v/>
      </c>
      <c r="O214" s="17" t="str">
        <f t="shared" si="28"/>
        <v/>
      </c>
      <c r="Q214" s="36">
        <f t="shared" si="26"/>
        <v>0</v>
      </c>
      <c r="U214" s="37">
        <v>0</v>
      </c>
      <c r="V214" s="36">
        <f t="shared" si="27"/>
        <v>0</v>
      </c>
    </row>
    <row r="215" spans="1:22" x14ac:dyDescent="0.2">
      <c r="A215" s="14">
        <v>2024</v>
      </c>
      <c r="B215" s="14" t="s">
        <v>37</v>
      </c>
      <c r="C215" s="14" t="s">
        <v>437</v>
      </c>
      <c r="D215" s="14" t="s">
        <v>688</v>
      </c>
      <c r="E215" s="14" t="s">
        <v>688</v>
      </c>
      <c r="F215" s="14" t="s">
        <v>437</v>
      </c>
      <c r="G215" s="14" t="s">
        <v>438</v>
      </c>
      <c r="H215" s="15">
        <f>ROUND(SUMPRODUCT(SUMIF(Final!$G$4:$G$330,CashReserveLevy!D215:F215,Final!$C$4:$C$330)),0)</f>
        <v>11278351</v>
      </c>
      <c r="I215" s="15">
        <f t="shared" si="22"/>
        <v>2255670</v>
      </c>
      <c r="J215" s="15">
        <f>ROUND(SUMPRODUCT(SUMIF(Final!$G$4:$G$330,CashReserveLevy!D215:F215,Final!$E$4:$E$330)),0)</f>
        <v>209737</v>
      </c>
      <c r="K215" s="15">
        <f t="shared" si="23"/>
        <v>2045933</v>
      </c>
      <c r="L215" s="37">
        <f>INDEX(ActualCRLevy_SAS!$A$2:$D$326,MATCH(CashReserveLevy!$C215,ActualCRLevy_SAS!$B$2:$B$326,0),4)</f>
        <v>991875</v>
      </c>
      <c r="M215" s="38" t="str">
        <f t="shared" si="24"/>
        <v/>
      </c>
      <c r="N215" s="17" t="str">
        <f t="shared" si="25"/>
        <v/>
      </c>
      <c r="O215" s="17" t="str">
        <f t="shared" si="28"/>
        <v/>
      </c>
      <c r="Q215" s="36">
        <f t="shared" si="26"/>
        <v>1054058</v>
      </c>
      <c r="U215" s="37">
        <v>2045933</v>
      </c>
      <c r="V215" s="36">
        <f t="shared" si="27"/>
        <v>0</v>
      </c>
    </row>
    <row r="216" spans="1:22" x14ac:dyDescent="0.2">
      <c r="A216" s="14">
        <v>2024</v>
      </c>
      <c r="B216" s="14" t="s">
        <v>5</v>
      </c>
      <c r="C216" s="14" t="s">
        <v>440</v>
      </c>
      <c r="D216" s="14" t="s">
        <v>688</v>
      </c>
      <c r="E216" s="14" t="s">
        <v>688</v>
      </c>
      <c r="F216" s="14" t="s">
        <v>440</v>
      </c>
      <c r="G216" s="14" t="s">
        <v>441</v>
      </c>
      <c r="H216" s="15">
        <f>ROUND(SUMPRODUCT(SUMIF(Final!$G$4:$G$330,CashReserveLevy!D216:F216,Final!$C$4:$C$330)),0)</f>
        <v>7196843</v>
      </c>
      <c r="I216" s="15">
        <f t="shared" si="22"/>
        <v>1439369</v>
      </c>
      <c r="J216" s="15">
        <f>ROUND(SUMPRODUCT(SUMIF(Final!$G$4:$G$330,CashReserveLevy!D216:F216,Final!$E$4:$E$330)),0)</f>
        <v>1344127</v>
      </c>
      <c r="K216" s="15">
        <f t="shared" si="23"/>
        <v>95242</v>
      </c>
      <c r="L216" s="37">
        <f>INDEX(ActualCRLevy_SAS!$A$2:$D$326,MATCH(CashReserveLevy!$C216,ActualCRLevy_SAS!$B$2:$B$326,0),4)</f>
        <v>95241</v>
      </c>
      <c r="M216" s="38" t="str">
        <f t="shared" si="24"/>
        <v/>
      </c>
      <c r="N216" s="17" t="str">
        <f t="shared" si="25"/>
        <v/>
      </c>
      <c r="O216" s="17" t="str">
        <f t="shared" si="28"/>
        <v/>
      </c>
      <c r="Q216" s="36">
        <f t="shared" si="26"/>
        <v>1</v>
      </c>
      <c r="U216" s="37">
        <v>95242</v>
      </c>
      <c r="V216" s="36">
        <f t="shared" si="27"/>
        <v>0</v>
      </c>
    </row>
    <row r="217" spans="1:22" x14ac:dyDescent="0.2">
      <c r="A217" s="14">
        <v>2024</v>
      </c>
      <c r="B217" s="14" t="s">
        <v>0</v>
      </c>
      <c r="C217" s="14" t="s">
        <v>442</v>
      </c>
      <c r="D217" s="14" t="s">
        <v>688</v>
      </c>
      <c r="E217" s="14" t="s">
        <v>688</v>
      </c>
      <c r="F217" s="14" t="s">
        <v>442</v>
      </c>
      <c r="G217" s="14" t="s">
        <v>443</v>
      </c>
      <c r="H217" s="15">
        <f>ROUND(SUMPRODUCT(SUMIF(Final!$G$4:$G$330,CashReserveLevy!D217:F217,Final!$C$4:$C$330)),0)</f>
        <v>38256376</v>
      </c>
      <c r="I217" s="15">
        <f t="shared" si="22"/>
        <v>7651275</v>
      </c>
      <c r="J217" s="15">
        <f>ROUND(SUMPRODUCT(SUMIF(Final!$G$4:$G$330,CashReserveLevy!D217:F217,Final!$E$4:$E$330)),0)</f>
        <v>7093108</v>
      </c>
      <c r="K217" s="15">
        <f t="shared" si="23"/>
        <v>558167</v>
      </c>
      <c r="L217" s="37">
        <f>INDEX(ActualCRLevy_SAS!$A$2:$D$326,MATCH(CashReserveLevy!$C217,ActualCRLevy_SAS!$B$2:$B$326,0),4)</f>
        <v>558167</v>
      </c>
      <c r="M217" s="38" t="str">
        <f t="shared" si="24"/>
        <v>Max</v>
      </c>
      <c r="N217" s="17" t="str">
        <f t="shared" si="25"/>
        <v/>
      </c>
      <c r="O217" s="17" t="str">
        <f t="shared" si="28"/>
        <v/>
      </c>
      <c r="Q217" s="36">
        <f t="shared" si="26"/>
        <v>0</v>
      </c>
      <c r="U217" s="37">
        <v>558167</v>
      </c>
      <c r="V217" s="36">
        <f t="shared" si="27"/>
        <v>0</v>
      </c>
    </row>
    <row r="218" spans="1:22" x14ac:dyDescent="0.2">
      <c r="A218" s="14">
        <v>2024</v>
      </c>
      <c r="B218" s="14" t="s">
        <v>11</v>
      </c>
      <c r="C218" s="14" t="s">
        <v>444</v>
      </c>
      <c r="D218" s="14" t="s">
        <v>688</v>
      </c>
      <c r="E218" s="14" t="s">
        <v>688</v>
      </c>
      <c r="F218" s="14" t="s">
        <v>444</v>
      </c>
      <c r="G218" s="14" t="s">
        <v>445</v>
      </c>
      <c r="H218" s="15">
        <f>ROUND(SUMPRODUCT(SUMIF(Final!$G$4:$G$330,CashReserveLevy!D218:F218,Final!$C$4:$C$330)),0)</f>
        <v>11548824</v>
      </c>
      <c r="I218" s="15">
        <f t="shared" si="22"/>
        <v>2309765</v>
      </c>
      <c r="J218" s="15">
        <f>ROUND(SUMPRODUCT(SUMIF(Final!$G$4:$G$330,CashReserveLevy!D218:F218,Final!$E$4:$E$330)),0)</f>
        <v>2942218</v>
      </c>
      <c r="K218" s="15">
        <f t="shared" si="23"/>
        <v>0</v>
      </c>
      <c r="L218" s="37">
        <f>INDEX(ActualCRLevy_SAS!$A$2:$D$326,MATCH(CashReserveLevy!$C218,ActualCRLevy_SAS!$B$2:$B$326,0),4)</f>
        <v>0</v>
      </c>
      <c r="M218" s="38" t="str">
        <f t="shared" si="24"/>
        <v/>
      </c>
      <c r="N218" s="17" t="str">
        <f t="shared" si="25"/>
        <v/>
      </c>
      <c r="O218" s="17" t="str">
        <f t="shared" si="28"/>
        <v/>
      </c>
      <c r="Q218" s="36">
        <f t="shared" si="26"/>
        <v>0</v>
      </c>
      <c r="U218" s="37">
        <v>0</v>
      </c>
      <c r="V218" s="36">
        <f t="shared" si="27"/>
        <v>0</v>
      </c>
    </row>
    <row r="219" spans="1:22" x14ac:dyDescent="0.2">
      <c r="A219" s="14">
        <v>2024</v>
      </c>
      <c r="B219" s="14" t="s">
        <v>28</v>
      </c>
      <c r="C219" s="14" t="s">
        <v>446</v>
      </c>
      <c r="D219" s="14" t="s">
        <v>688</v>
      </c>
      <c r="E219" s="14" t="s">
        <v>688</v>
      </c>
      <c r="F219" s="14" t="s">
        <v>446</v>
      </c>
      <c r="G219" s="14" t="s">
        <v>447</v>
      </c>
      <c r="H219" s="15">
        <f>ROUND(SUMPRODUCT(SUMIF(Final!$G$4:$G$330,CashReserveLevy!D219:F219,Final!$C$4:$C$330)),0)</f>
        <v>19448882</v>
      </c>
      <c r="I219" s="15">
        <f t="shared" si="22"/>
        <v>3889776</v>
      </c>
      <c r="J219" s="15">
        <f>ROUND(SUMPRODUCT(SUMIF(Final!$G$4:$G$330,CashReserveLevy!D219:F219,Final!$E$4:$E$330)),0)</f>
        <v>3238001</v>
      </c>
      <c r="K219" s="15">
        <f t="shared" si="23"/>
        <v>651775</v>
      </c>
      <c r="L219" s="37">
        <f>INDEX(ActualCRLevy_SAS!$A$2:$D$326,MATCH(CashReserveLevy!$C219,ActualCRLevy_SAS!$B$2:$B$326,0),4)</f>
        <v>651775</v>
      </c>
      <c r="M219" s="38" t="str">
        <f t="shared" si="24"/>
        <v>Max</v>
      </c>
      <c r="N219" s="17" t="str">
        <f t="shared" si="25"/>
        <v/>
      </c>
      <c r="O219" s="17" t="str">
        <f t="shared" si="28"/>
        <v/>
      </c>
      <c r="Q219" s="36">
        <f t="shared" si="26"/>
        <v>0</v>
      </c>
      <c r="U219" s="37">
        <v>651775</v>
      </c>
      <c r="V219" s="36">
        <f t="shared" si="27"/>
        <v>0</v>
      </c>
    </row>
    <row r="220" spans="1:22" x14ac:dyDescent="0.2">
      <c r="A220" s="14">
        <v>2024</v>
      </c>
      <c r="B220" s="14" t="s">
        <v>0</v>
      </c>
      <c r="C220" s="14" t="s">
        <v>448</v>
      </c>
      <c r="D220" s="14" t="s">
        <v>688</v>
      </c>
      <c r="E220" s="14" t="s">
        <v>688</v>
      </c>
      <c r="F220" s="14" t="s">
        <v>448</v>
      </c>
      <c r="G220" s="14" t="s">
        <v>449</v>
      </c>
      <c r="H220" s="15">
        <f>ROUND(SUMPRODUCT(SUMIF(Final!$G$4:$G$330,CashReserveLevy!D220:F220,Final!$C$4:$C$330)),0)</f>
        <v>8405443</v>
      </c>
      <c r="I220" s="15">
        <f t="shared" si="22"/>
        <v>1681089</v>
      </c>
      <c r="J220" s="15">
        <f>ROUND(SUMPRODUCT(SUMIF(Final!$G$4:$G$330,CashReserveLevy!D220:F220,Final!$E$4:$E$330)),0)</f>
        <v>3248997</v>
      </c>
      <c r="K220" s="15">
        <f t="shared" si="23"/>
        <v>0</v>
      </c>
      <c r="L220" s="37">
        <f>INDEX(ActualCRLevy_SAS!$A$2:$D$326,MATCH(CashReserveLevy!$C220,ActualCRLevy_SAS!$B$2:$B$326,0),4)</f>
        <v>0</v>
      </c>
      <c r="M220" s="38" t="str">
        <f t="shared" si="24"/>
        <v/>
      </c>
      <c r="N220" s="17" t="str">
        <f t="shared" si="25"/>
        <v/>
      </c>
      <c r="O220" s="17" t="str">
        <f t="shared" si="28"/>
        <v/>
      </c>
      <c r="Q220" s="36">
        <f t="shared" si="26"/>
        <v>0</v>
      </c>
      <c r="U220" s="37">
        <v>0</v>
      </c>
      <c r="V220" s="36">
        <f t="shared" si="27"/>
        <v>0</v>
      </c>
    </row>
    <row r="221" spans="1:22" x14ac:dyDescent="0.2">
      <c r="A221" s="14">
        <v>2024</v>
      </c>
      <c r="B221" s="14" t="s">
        <v>14</v>
      </c>
      <c r="C221" s="14" t="s">
        <v>450</v>
      </c>
      <c r="D221" s="14" t="s">
        <v>688</v>
      </c>
      <c r="E221" s="14" t="s">
        <v>688</v>
      </c>
      <c r="F221" s="14" t="s">
        <v>450</v>
      </c>
      <c r="G221" s="14" t="s">
        <v>451</v>
      </c>
      <c r="H221" s="15">
        <f>ROUND(SUMPRODUCT(SUMIF(Final!$G$4:$G$330,CashReserveLevy!D221:F221,Final!$C$4:$C$330)),0)</f>
        <v>14830366</v>
      </c>
      <c r="I221" s="15">
        <f t="shared" si="22"/>
        <v>2966073</v>
      </c>
      <c r="J221" s="15">
        <f>ROUND(SUMPRODUCT(SUMIF(Final!$G$4:$G$330,CashReserveLevy!D221:F221,Final!$E$4:$E$330)),0)</f>
        <v>3723380</v>
      </c>
      <c r="K221" s="15">
        <f t="shared" si="23"/>
        <v>0</v>
      </c>
      <c r="L221" s="37">
        <f>INDEX(ActualCRLevy_SAS!$A$2:$D$326,MATCH(CashReserveLevy!$C221,ActualCRLevy_SAS!$B$2:$B$326,0),4)</f>
        <v>0</v>
      </c>
      <c r="M221" s="38" t="str">
        <f t="shared" si="24"/>
        <v/>
      </c>
      <c r="N221" s="17" t="str">
        <f t="shared" si="25"/>
        <v/>
      </c>
      <c r="O221" s="17" t="str">
        <f t="shared" si="28"/>
        <v/>
      </c>
      <c r="Q221" s="36">
        <f t="shared" si="26"/>
        <v>0</v>
      </c>
      <c r="U221" s="37">
        <v>0</v>
      </c>
      <c r="V221" s="36">
        <f t="shared" si="27"/>
        <v>0</v>
      </c>
    </row>
    <row r="222" spans="1:22" x14ac:dyDescent="0.2">
      <c r="A222" s="14">
        <v>2024</v>
      </c>
      <c r="B222" s="14" t="s">
        <v>20</v>
      </c>
      <c r="C222" s="14" t="s">
        <v>452</v>
      </c>
      <c r="D222" s="14" t="s">
        <v>688</v>
      </c>
      <c r="E222" s="14" t="s">
        <v>688</v>
      </c>
      <c r="F222" s="14" t="s">
        <v>452</v>
      </c>
      <c r="G222" s="14" t="s">
        <v>453</v>
      </c>
      <c r="H222" s="15">
        <f>ROUND(SUMPRODUCT(SUMIF(Final!$G$4:$G$330,CashReserveLevy!D222:F222,Final!$C$4:$C$330)),0)</f>
        <v>2783277</v>
      </c>
      <c r="I222" s="15">
        <f t="shared" si="22"/>
        <v>556655</v>
      </c>
      <c r="J222" s="15">
        <f>ROUND(SUMPRODUCT(SUMIF(Final!$G$4:$G$330,CashReserveLevy!D222:F222,Final!$E$4:$E$330)),0)</f>
        <v>2524888</v>
      </c>
      <c r="K222" s="15">
        <f t="shared" si="23"/>
        <v>0</v>
      </c>
      <c r="L222" s="37">
        <f>INDEX(ActualCRLevy_SAS!$A$2:$D$326,MATCH(CashReserveLevy!$C222,ActualCRLevy_SAS!$B$2:$B$326,0),4)</f>
        <v>0</v>
      </c>
      <c r="M222" s="38" t="str">
        <f t="shared" si="24"/>
        <v/>
      </c>
      <c r="N222" s="17" t="str">
        <f t="shared" si="25"/>
        <v/>
      </c>
      <c r="O222" s="17" t="str">
        <f t="shared" si="28"/>
        <v/>
      </c>
      <c r="Q222" s="36">
        <f t="shared" si="26"/>
        <v>0</v>
      </c>
      <c r="U222" s="37">
        <v>0</v>
      </c>
      <c r="V222" s="36">
        <f t="shared" si="27"/>
        <v>0</v>
      </c>
    </row>
    <row r="223" spans="1:22" x14ac:dyDescent="0.2">
      <c r="A223" s="14">
        <v>2024</v>
      </c>
      <c r="B223" s="14" t="s">
        <v>8</v>
      </c>
      <c r="C223" s="14" t="s">
        <v>454</v>
      </c>
      <c r="D223" s="14" t="s">
        <v>688</v>
      </c>
      <c r="E223" s="14" t="s">
        <v>688</v>
      </c>
      <c r="F223" s="14" t="s">
        <v>454</v>
      </c>
      <c r="G223" s="14" t="s">
        <v>455</v>
      </c>
      <c r="H223" s="15">
        <f>ROUND(SUMPRODUCT(SUMIF(Final!$G$4:$G$330,CashReserveLevy!D223:F223,Final!$C$4:$C$330)),0)</f>
        <v>3211236</v>
      </c>
      <c r="I223" s="15">
        <f t="shared" si="22"/>
        <v>642247</v>
      </c>
      <c r="J223" s="15">
        <f>ROUND(SUMPRODUCT(SUMIF(Final!$G$4:$G$330,CashReserveLevy!D223:F223,Final!$E$4:$E$330)),0)</f>
        <v>133747</v>
      </c>
      <c r="K223" s="15">
        <f t="shared" si="23"/>
        <v>508500</v>
      </c>
      <c r="L223" s="37">
        <f>INDEX(ActualCRLevy_SAS!$A$2:$D$326,MATCH(CashReserveLevy!$C223,ActualCRLevy_SAS!$B$2:$B$326,0),4)</f>
        <v>508500</v>
      </c>
      <c r="M223" s="38" t="str">
        <f t="shared" si="24"/>
        <v>Max</v>
      </c>
      <c r="N223" s="17" t="str">
        <f t="shared" si="25"/>
        <v/>
      </c>
      <c r="O223" s="17" t="str">
        <f t="shared" si="28"/>
        <v/>
      </c>
      <c r="Q223" s="36">
        <f t="shared" si="26"/>
        <v>0</v>
      </c>
      <c r="U223" s="37">
        <v>508500</v>
      </c>
      <c r="V223" s="36">
        <f t="shared" si="27"/>
        <v>0</v>
      </c>
    </row>
    <row r="224" spans="1:22" x14ac:dyDescent="0.2">
      <c r="A224" s="14">
        <v>2024</v>
      </c>
      <c r="B224" s="14" t="s">
        <v>5</v>
      </c>
      <c r="C224" s="14" t="s">
        <v>456</v>
      </c>
      <c r="D224" s="14" t="s">
        <v>688</v>
      </c>
      <c r="E224" s="14" t="s">
        <v>688</v>
      </c>
      <c r="F224" s="14" t="s">
        <v>456</v>
      </c>
      <c r="G224" s="14" t="s">
        <v>457</v>
      </c>
      <c r="H224" s="15">
        <f>ROUND(SUMPRODUCT(SUMIF(Final!$G$4:$G$330,CashReserveLevy!D224:F224,Final!$C$4:$C$330)),0)</f>
        <v>11751157</v>
      </c>
      <c r="I224" s="15">
        <f t="shared" si="22"/>
        <v>2350231</v>
      </c>
      <c r="J224" s="15">
        <f>ROUND(SUMPRODUCT(SUMIF(Final!$G$4:$G$330,CashReserveLevy!D224:F224,Final!$E$4:$E$330)),0)</f>
        <v>2614265</v>
      </c>
      <c r="K224" s="15">
        <f t="shared" si="23"/>
        <v>0</v>
      </c>
      <c r="L224" s="37">
        <f>INDEX(ActualCRLevy_SAS!$A$2:$D$326,MATCH(CashReserveLevy!$C224,ActualCRLevy_SAS!$B$2:$B$326,0),4)</f>
        <v>0</v>
      </c>
      <c r="M224" s="38" t="str">
        <f t="shared" si="24"/>
        <v/>
      </c>
      <c r="N224" s="17" t="str">
        <f t="shared" si="25"/>
        <v/>
      </c>
      <c r="O224" s="17" t="str">
        <f t="shared" si="28"/>
        <v/>
      </c>
      <c r="Q224" s="36">
        <f t="shared" si="26"/>
        <v>0</v>
      </c>
      <c r="U224" s="37">
        <v>0</v>
      </c>
      <c r="V224" s="36">
        <f t="shared" si="27"/>
        <v>0</v>
      </c>
    </row>
    <row r="225" spans="1:22" x14ac:dyDescent="0.2">
      <c r="A225" s="14">
        <v>2024</v>
      </c>
      <c r="B225" s="14" t="s">
        <v>17</v>
      </c>
      <c r="C225" s="14" t="s">
        <v>458</v>
      </c>
      <c r="D225" s="14" t="s">
        <v>688</v>
      </c>
      <c r="E225" s="14" t="s">
        <v>688</v>
      </c>
      <c r="F225" s="14" t="s">
        <v>458</v>
      </c>
      <c r="G225" s="14" t="s">
        <v>459</v>
      </c>
      <c r="H225" s="15">
        <f>ROUND(SUMPRODUCT(SUMIF(Final!$G$4:$G$330,CashReserveLevy!D225:F225,Final!$C$4:$C$330)),0)</f>
        <v>28963380</v>
      </c>
      <c r="I225" s="15">
        <f t="shared" si="22"/>
        <v>5792676</v>
      </c>
      <c r="J225" s="15">
        <f>ROUND(SUMPRODUCT(SUMIF(Final!$G$4:$G$330,CashReserveLevy!D225:F225,Final!$E$4:$E$330)),0)</f>
        <v>3935991</v>
      </c>
      <c r="K225" s="15">
        <f t="shared" si="23"/>
        <v>1856685</v>
      </c>
      <c r="L225" s="37">
        <f>INDEX(ActualCRLevy_SAS!$A$2:$D$326,MATCH(CashReserveLevy!$C225,ActualCRLevy_SAS!$B$2:$B$326,0),4)</f>
        <v>576042</v>
      </c>
      <c r="M225" s="38" t="str">
        <f t="shared" si="24"/>
        <v/>
      </c>
      <c r="N225" s="17" t="str">
        <f t="shared" si="25"/>
        <v/>
      </c>
      <c r="O225" s="17" t="str">
        <f t="shared" si="28"/>
        <v/>
      </c>
      <c r="Q225" s="36">
        <f t="shared" si="26"/>
        <v>1280643</v>
      </c>
      <c r="U225" s="37">
        <v>1856685</v>
      </c>
      <c r="V225" s="36">
        <f t="shared" si="27"/>
        <v>0</v>
      </c>
    </row>
    <row r="226" spans="1:22" x14ac:dyDescent="0.2">
      <c r="A226" s="14">
        <v>2024</v>
      </c>
      <c r="B226" s="14" t="s">
        <v>17</v>
      </c>
      <c r="C226" s="14" t="s">
        <v>460</v>
      </c>
      <c r="D226" s="14" t="s">
        <v>688</v>
      </c>
      <c r="E226" s="14" t="s">
        <v>688</v>
      </c>
      <c r="F226" s="14" t="s">
        <v>460</v>
      </c>
      <c r="G226" s="14" t="s">
        <v>461</v>
      </c>
      <c r="H226" s="15">
        <f>ROUND(SUMPRODUCT(SUMIF(Final!$G$4:$G$330,CashReserveLevy!D226:F226,Final!$C$4:$C$330)),0)</f>
        <v>64193931</v>
      </c>
      <c r="I226" s="15">
        <f t="shared" si="22"/>
        <v>12838786</v>
      </c>
      <c r="J226" s="15">
        <f>ROUND(SUMPRODUCT(SUMIF(Final!$G$4:$G$330,CashReserveLevy!D226:F226,Final!$E$4:$E$330)),0)</f>
        <v>11157588</v>
      </c>
      <c r="K226" s="15">
        <f t="shared" si="23"/>
        <v>1681198</v>
      </c>
      <c r="L226" s="37">
        <f>INDEX(ActualCRLevy_SAS!$A$2:$D$326,MATCH(CashReserveLevy!$C226,ActualCRLevy_SAS!$B$2:$B$326,0),4)</f>
        <v>277160</v>
      </c>
      <c r="M226" s="38" t="str">
        <f t="shared" si="24"/>
        <v/>
      </c>
      <c r="N226" s="17" t="str">
        <f t="shared" si="25"/>
        <v/>
      </c>
      <c r="O226" s="17" t="str">
        <f t="shared" si="28"/>
        <v/>
      </c>
      <c r="Q226" s="36">
        <f t="shared" si="26"/>
        <v>1404038</v>
      </c>
      <c r="U226" s="37">
        <v>1681198</v>
      </c>
      <c r="V226" s="36">
        <f t="shared" si="27"/>
        <v>0</v>
      </c>
    </row>
    <row r="227" spans="1:22" x14ac:dyDescent="0.2">
      <c r="A227" s="14">
        <v>2024</v>
      </c>
      <c r="B227" s="14" t="s">
        <v>0</v>
      </c>
      <c r="C227" s="14" t="s">
        <v>462</v>
      </c>
      <c r="D227" s="14" t="s">
        <v>688</v>
      </c>
      <c r="E227" s="14" t="s">
        <v>688</v>
      </c>
      <c r="F227" s="14" t="s">
        <v>462</v>
      </c>
      <c r="G227" s="14" t="s">
        <v>463</v>
      </c>
      <c r="H227" s="15">
        <f>ROUND(SUMPRODUCT(SUMIF(Final!$G$4:$G$330,CashReserveLevy!D227:F227,Final!$C$4:$C$330)),0)</f>
        <v>9074548</v>
      </c>
      <c r="I227" s="15">
        <f t="shared" si="22"/>
        <v>1814910</v>
      </c>
      <c r="J227" s="15">
        <f>ROUND(SUMPRODUCT(SUMIF(Final!$G$4:$G$330,CashReserveLevy!D227:F227,Final!$E$4:$E$330)),0)</f>
        <v>1729334</v>
      </c>
      <c r="K227" s="15">
        <f t="shared" si="23"/>
        <v>85576</v>
      </c>
      <c r="L227" s="37">
        <f>INDEX(ActualCRLevy_SAS!$A$2:$D$326,MATCH(CashReserveLevy!$C227,ActualCRLevy_SAS!$B$2:$B$326,0),4)</f>
        <v>22500</v>
      </c>
      <c r="M227" s="38" t="str">
        <f t="shared" si="24"/>
        <v/>
      </c>
      <c r="N227" s="17" t="str">
        <f t="shared" si="25"/>
        <v/>
      </c>
      <c r="O227" s="17" t="str">
        <f t="shared" si="28"/>
        <v/>
      </c>
      <c r="Q227" s="36">
        <f t="shared" si="26"/>
        <v>63076</v>
      </c>
      <c r="U227" s="37">
        <v>85576</v>
      </c>
      <c r="V227" s="36">
        <f t="shared" si="27"/>
        <v>0</v>
      </c>
    </row>
    <row r="228" spans="1:22" x14ac:dyDescent="0.2">
      <c r="A228" s="14">
        <v>2024</v>
      </c>
      <c r="B228" s="14" t="s">
        <v>14</v>
      </c>
      <c r="C228" s="14" t="s">
        <v>464</v>
      </c>
      <c r="D228" s="14" t="s">
        <v>688</v>
      </c>
      <c r="E228" s="14" t="s">
        <v>688</v>
      </c>
      <c r="F228" s="14" t="s">
        <v>464</v>
      </c>
      <c r="G228" s="14" t="s">
        <v>465</v>
      </c>
      <c r="H228" s="15">
        <f>ROUND(SUMPRODUCT(SUMIF(Final!$G$4:$G$330,CashReserveLevy!D228:F228,Final!$C$4:$C$330)),0)</f>
        <v>3114004</v>
      </c>
      <c r="I228" s="15">
        <f t="shared" si="22"/>
        <v>622801</v>
      </c>
      <c r="J228" s="15">
        <f>ROUND(SUMPRODUCT(SUMIF(Final!$G$4:$G$330,CashReserveLevy!D228:F228,Final!$E$4:$E$330)),0)</f>
        <v>796842</v>
      </c>
      <c r="K228" s="15">
        <f t="shared" si="23"/>
        <v>0</v>
      </c>
      <c r="L228" s="37">
        <f>INDEX(ActualCRLevy_SAS!$A$2:$D$326,MATCH(CashReserveLevy!$C228,ActualCRLevy_SAS!$B$2:$B$326,0),4)</f>
        <v>0</v>
      </c>
      <c r="M228" s="38" t="str">
        <f t="shared" si="24"/>
        <v/>
      </c>
      <c r="N228" s="17" t="str">
        <f t="shared" si="25"/>
        <v/>
      </c>
      <c r="O228" s="17" t="str">
        <f t="shared" si="28"/>
        <v/>
      </c>
      <c r="Q228" s="36">
        <f t="shared" si="26"/>
        <v>0</v>
      </c>
      <c r="U228" s="37">
        <v>0</v>
      </c>
      <c r="V228" s="36">
        <f t="shared" si="27"/>
        <v>0</v>
      </c>
    </row>
    <row r="229" spans="1:22" x14ac:dyDescent="0.2">
      <c r="A229" s="14">
        <v>2024</v>
      </c>
      <c r="B229" s="14" t="s">
        <v>0</v>
      </c>
      <c r="C229" s="14" t="s">
        <v>466</v>
      </c>
      <c r="D229" s="14" t="s">
        <v>688</v>
      </c>
      <c r="E229" s="14" t="s">
        <v>688</v>
      </c>
      <c r="F229" s="14" t="s">
        <v>467</v>
      </c>
      <c r="G229" s="14" t="s">
        <v>468</v>
      </c>
      <c r="H229" s="15">
        <f>ROUND(SUMPRODUCT(SUMIF(Final!$G$4:$G$330,CashReserveLevy!D229:F229,Final!$C$4:$C$330)),0)</f>
        <v>13250117</v>
      </c>
      <c r="I229" s="15">
        <f t="shared" si="22"/>
        <v>2650023</v>
      </c>
      <c r="J229" s="15">
        <f>ROUND(SUMPRODUCT(SUMIF(Final!$G$4:$G$330,CashReserveLevy!D229:F229,Final!$E$4:$E$330)),0)</f>
        <v>3532028</v>
      </c>
      <c r="K229" s="15">
        <f t="shared" si="23"/>
        <v>0</v>
      </c>
      <c r="L229" s="37">
        <f>INDEX(ActualCRLevy_SAS!$A$2:$D$326,MATCH(CashReserveLevy!$C229,ActualCRLevy_SAS!$B$2:$B$326,0),4)</f>
        <v>0</v>
      </c>
      <c r="M229" s="38" t="str">
        <f t="shared" si="24"/>
        <v/>
      </c>
      <c r="N229" s="17" t="str">
        <f t="shared" si="25"/>
        <v/>
      </c>
      <c r="O229" s="17" t="str">
        <f t="shared" si="28"/>
        <v/>
      </c>
      <c r="Q229" s="36">
        <f t="shared" si="26"/>
        <v>0</v>
      </c>
      <c r="U229" s="37">
        <v>0</v>
      </c>
      <c r="V229" s="36">
        <f t="shared" si="27"/>
        <v>0</v>
      </c>
    </row>
    <row r="230" spans="1:22" x14ac:dyDescent="0.2">
      <c r="A230" s="14">
        <v>2024</v>
      </c>
      <c r="B230" s="14" t="s">
        <v>17</v>
      </c>
      <c r="C230" s="14" t="s">
        <v>469</v>
      </c>
      <c r="D230" s="14" t="s">
        <v>688</v>
      </c>
      <c r="E230" s="14" t="s">
        <v>688</v>
      </c>
      <c r="F230" s="14" t="s">
        <v>469</v>
      </c>
      <c r="G230" s="14" t="s">
        <v>470</v>
      </c>
      <c r="H230" s="15">
        <f>ROUND(SUMPRODUCT(SUMIF(Final!$G$4:$G$330,CashReserveLevy!D230:F230,Final!$C$4:$C$330)),0)</f>
        <v>9667797</v>
      </c>
      <c r="I230" s="15">
        <f t="shared" si="22"/>
        <v>1933559</v>
      </c>
      <c r="J230" s="15">
        <f>ROUND(SUMPRODUCT(SUMIF(Final!$G$4:$G$330,CashReserveLevy!D230:F230,Final!$E$4:$E$330)),0)</f>
        <v>1358611</v>
      </c>
      <c r="K230" s="15">
        <f t="shared" si="23"/>
        <v>574948</v>
      </c>
      <c r="L230" s="37">
        <f>INDEX(ActualCRLevy_SAS!$A$2:$D$326,MATCH(CashReserveLevy!$C230,ActualCRLevy_SAS!$B$2:$B$326,0),4)</f>
        <v>250000</v>
      </c>
      <c r="M230" s="38" t="str">
        <f t="shared" si="24"/>
        <v/>
      </c>
      <c r="N230" s="17" t="str">
        <f t="shared" si="25"/>
        <v/>
      </c>
      <c r="O230" s="17" t="str">
        <f t="shared" si="28"/>
        <v/>
      </c>
      <c r="Q230" s="36">
        <f t="shared" si="26"/>
        <v>324948</v>
      </c>
      <c r="U230" s="37">
        <v>574948</v>
      </c>
      <c r="V230" s="36">
        <f t="shared" si="27"/>
        <v>0</v>
      </c>
    </row>
    <row r="231" spans="1:22" x14ac:dyDescent="0.2">
      <c r="A231" s="14">
        <v>2024</v>
      </c>
      <c r="B231" s="14" t="s">
        <v>0</v>
      </c>
      <c r="C231" s="14" t="s">
        <v>471</v>
      </c>
      <c r="D231" s="14" t="s">
        <v>688</v>
      </c>
      <c r="E231" s="14" t="s">
        <v>688</v>
      </c>
      <c r="F231" s="14" t="s">
        <v>471</v>
      </c>
      <c r="G231" s="14" t="s">
        <v>472</v>
      </c>
      <c r="H231" s="15">
        <f>ROUND(SUMPRODUCT(SUMIF(Final!$G$4:$G$330,CashReserveLevy!D231:F231,Final!$C$4:$C$330)),0)</f>
        <v>28687745</v>
      </c>
      <c r="I231" s="15">
        <f t="shared" si="22"/>
        <v>5737549</v>
      </c>
      <c r="J231" s="15">
        <f>ROUND(SUMPRODUCT(SUMIF(Final!$G$4:$G$330,CashReserveLevy!D231:F231,Final!$E$4:$E$330)),0)</f>
        <v>4099870</v>
      </c>
      <c r="K231" s="15">
        <f t="shared" si="23"/>
        <v>1637679</v>
      </c>
      <c r="L231" s="37">
        <f>INDEX(ActualCRLevy_SAS!$A$2:$D$326,MATCH(CashReserveLevy!$C231,ActualCRLevy_SAS!$B$2:$B$326,0),4)</f>
        <v>1399845</v>
      </c>
      <c r="M231" s="38" t="str">
        <f t="shared" si="24"/>
        <v/>
      </c>
      <c r="N231" s="17" t="str">
        <f t="shared" si="25"/>
        <v/>
      </c>
      <c r="O231" s="17" t="str">
        <f t="shared" si="28"/>
        <v/>
      </c>
      <c r="Q231" s="36">
        <f t="shared" si="26"/>
        <v>237834</v>
      </c>
      <c r="U231" s="37">
        <v>1637679</v>
      </c>
      <c r="V231" s="36">
        <f t="shared" si="27"/>
        <v>0</v>
      </c>
    </row>
    <row r="232" spans="1:22" x14ac:dyDescent="0.2">
      <c r="A232" s="14">
        <v>2024</v>
      </c>
      <c r="B232" s="14" t="s">
        <v>0</v>
      </c>
      <c r="C232" s="14" t="s">
        <v>473</v>
      </c>
      <c r="D232" s="14" t="s">
        <v>688</v>
      </c>
      <c r="E232" s="14" t="s">
        <v>688</v>
      </c>
      <c r="F232" s="14" t="s">
        <v>473</v>
      </c>
      <c r="G232" s="14" t="s">
        <v>474</v>
      </c>
      <c r="H232" s="15">
        <f>ROUND(SUMPRODUCT(SUMIF(Final!$G$4:$G$330,CashReserveLevy!D232:F232,Final!$C$4:$C$330)),0)</f>
        <v>25396582</v>
      </c>
      <c r="I232" s="15">
        <f t="shared" si="22"/>
        <v>5079316</v>
      </c>
      <c r="J232" s="15">
        <f>ROUND(SUMPRODUCT(SUMIF(Final!$G$4:$G$330,CashReserveLevy!D232:F232,Final!$E$4:$E$330)),0)</f>
        <v>4990029</v>
      </c>
      <c r="K232" s="15">
        <f t="shared" si="23"/>
        <v>89287</v>
      </c>
      <c r="L232" s="37">
        <f>INDEX(ActualCRLevy_SAS!$A$2:$D$326,MATCH(CashReserveLevy!$C232,ActualCRLevy_SAS!$B$2:$B$326,0),4)</f>
        <v>89287</v>
      </c>
      <c r="M232" s="38" t="str">
        <f t="shared" si="24"/>
        <v>Max</v>
      </c>
      <c r="N232" s="17" t="str">
        <f t="shared" si="25"/>
        <v/>
      </c>
      <c r="O232" s="17" t="str">
        <f t="shared" si="28"/>
        <v/>
      </c>
      <c r="Q232" s="36">
        <f t="shared" si="26"/>
        <v>0</v>
      </c>
      <c r="U232" s="37">
        <v>89287</v>
      </c>
      <c r="V232" s="36">
        <f t="shared" si="27"/>
        <v>0</v>
      </c>
    </row>
    <row r="233" spans="1:22" x14ac:dyDescent="0.2">
      <c r="A233" s="14">
        <v>2024</v>
      </c>
      <c r="B233" s="14" t="s">
        <v>37</v>
      </c>
      <c r="C233" s="14" t="s">
        <v>475</v>
      </c>
      <c r="D233" s="14" t="s">
        <v>688</v>
      </c>
      <c r="E233" s="14" t="s">
        <v>688</v>
      </c>
      <c r="F233" s="14" t="s">
        <v>475</v>
      </c>
      <c r="G233" s="14" t="s">
        <v>476</v>
      </c>
      <c r="H233" s="15">
        <f>ROUND(SUMPRODUCT(SUMIF(Final!$G$4:$G$330,CashReserveLevy!D233:F233,Final!$C$4:$C$330)),0)</f>
        <v>61734276</v>
      </c>
      <c r="I233" s="15">
        <f t="shared" si="22"/>
        <v>12346855</v>
      </c>
      <c r="J233" s="15">
        <f>ROUND(SUMPRODUCT(SUMIF(Final!$G$4:$G$330,CashReserveLevy!D233:F233,Final!$E$4:$E$330)),0)</f>
        <v>10319010</v>
      </c>
      <c r="K233" s="15">
        <f t="shared" si="23"/>
        <v>2027845</v>
      </c>
      <c r="L233" s="37">
        <f>INDEX(ActualCRLevy_SAS!$A$2:$D$326,MATCH(CashReserveLevy!$C233,ActualCRLevy_SAS!$B$2:$B$326,0),4)</f>
        <v>2027845</v>
      </c>
      <c r="M233" s="38" t="str">
        <f t="shared" si="24"/>
        <v>Max</v>
      </c>
      <c r="N233" s="17" t="str">
        <f t="shared" si="25"/>
        <v/>
      </c>
      <c r="O233" s="17" t="str">
        <f t="shared" si="28"/>
        <v/>
      </c>
      <c r="Q233" s="36">
        <f t="shared" si="26"/>
        <v>0</v>
      </c>
      <c r="U233" s="37">
        <v>2027845</v>
      </c>
      <c r="V233" s="36">
        <f t="shared" si="27"/>
        <v>0</v>
      </c>
    </row>
    <row r="234" spans="1:22" x14ac:dyDescent="0.2">
      <c r="A234" s="14">
        <v>2024</v>
      </c>
      <c r="B234" s="14" t="s">
        <v>0</v>
      </c>
      <c r="C234" s="14" t="s">
        <v>477</v>
      </c>
      <c r="D234" s="14" t="s">
        <v>688</v>
      </c>
      <c r="E234" s="14" t="s">
        <v>688</v>
      </c>
      <c r="F234" s="14" t="s">
        <v>477</v>
      </c>
      <c r="G234" s="14" t="s">
        <v>478</v>
      </c>
      <c r="H234" s="15">
        <f>ROUND(SUMPRODUCT(SUMIF(Final!$G$4:$G$330,CashReserveLevy!D234:F234,Final!$C$4:$C$330)),0)</f>
        <v>8945954</v>
      </c>
      <c r="I234" s="15">
        <f t="shared" si="22"/>
        <v>1789191</v>
      </c>
      <c r="J234" s="15">
        <f>ROUND(SUMPRODUCT(SUMIF(Final!$G$4:$G$330,CashReserveLevy!D234:F234,Final!$E$4:$E$330)),0)</f>
        <v>2095098</v>
      </c>
      <c r="K234" s="15">
        <f t="shared" si="23"/>
        <v>0</v>
      </c>
      <c r="L234" s="37">
        <f>INDEX(ActualCRLevy_SAS!$A$2:$D$326,MATCH(CashReserveLevy!$C234,ActualCRLevy_SAS!$B$2:$B$326,0),4)</f>
        <v>0</v>
      </c>
      <c r="M234" s="38" t="str">
        <f t="shared" si="24"/>
        <v/>
      </c>
      <c r="N234" s="17" t="str">
        <f t="shared" si="25"/>
        <v/>
      </c>
      <c r="O234" s="17" t="str">
        <f t="shared" si="28"/>
        <v/>
      </c>
      <c r="Q234" s="36">
        <f t="shared" si="26"/>
        <v>0</v>
      </c>
      <c r="U234" s="37">
        <v>0</v>
      </c>
      <c r="V234" s="36">
        <f t="shared" si="27"/>
        <v>0</v>
      </c>
    </row>
    <row r="235" spans="1:22" x14ac:dyDescent="0.2">
      <c r="A235" s="14">
        <v>2024</v>
      </c>
      <c r="B235" s="14" t="s">
        <v>14</v>
      </c>
      <c r="C235" s="14" t="s">
        <v>479</v>
      </c>
      <c r="D235" s="14" t="s">
        <v>688</v>
      </c>
      <c r="E235" s="14" t="s">
        <v>688</v>
      </c>
      <c r="F235" s="14" t="s">
        <v>479</v>
      </c>
      <c r="G235" s="14" t="s">
        <v>480</v>
      </c>
      <c r="H235" s="15">
        <f>ROUND(SUMPRODUCT(SUMIF(Final!$G$4:$G$330,CashReserveLevy!D235:F235,Final!$C$4:$C$330)),0)</f>
        <v>9824584</v>
      </c>
      <c r="I235" s="15">
        <f t="shared" si="22"/>
        <v>1964917</v>
      </c>
      <c r="J235" s="15">
        <f>ROUND(SUMPRODUCT(SUMIF(Final!$G$4:$G$330,CashReserveLevy!D235:F235,Final!$E$4:$E$330)),0)</f>
        <v>1883878</v>
      </c>
      <c r="K235" s="15">
        <f t="shared" si="23"/>
        <v>81039</v>
      </c>
      <c r="L235" s="37">
        <f>INDEX(ActualCRLevy_SAS!$A$2:$D$326,MATCH(CashReserveLevy!$C235,ActualCRLevy_SAS!$B$2:$B$326,0),4)</f>
        <v>81039</v>
      </c>
      <c r="M235" s="38" t="str">
        <f t="shared" si="24"/>
        <v>Max</v>
      </c>
      <c r="N235" s="17" t="str">
        <f t="shared" si="25"/>
        <v/>
      </c>
      <c r="O235" s="17" t="str">
        <f t="shared" si="28"/>
        <v/>
      </c>
      <c r="Q235" s="36">
        <f t="shared" si="26"/>
        <v>0</v>
      </c>
      <c r="U235" s="37">
        <v>81039</v>
      </c>
      <c r="V235" s="36">
        <f t="shared" si="27"/>
        <v>0</v>
      </c>
    </row>
    <row r="236" spans="1:22" x14ac:dyDescent="0.2">
      <c r="A236" s="14">
        <v>2024</v>
      </c>
      <c r="B236" s="14" t="s">
        <v>28</v>
      </c>
      <c r="C236" s="14" t="s">
        <v>481</v>
      </c>
      <c r="D236" s="14" t="s">
        <v>688</v>
      </c>
      <c r="E236" s="14" t="s">
        <v>688</v>
      </c>
      <c r="F236" s="14" t="s">
        <v>481</v>
      </c>
      <c r="G236" s="14" t="s">
        <v>482</v>
      </c>
      <c r="H236" s="15">
        <f>ROUND(SUMPRODUCT(SUMIF(Final!$G$4:$G$330,CashReserveLevy!D236:F236,Final!$C$4:$C$330)),0)</f>
        <v>9913640</v>
      </c>
      <c r="I236" s="15">
        <f t="shared" si="22"/>
        <v>1982728</v>
      </c>
      <c r="J236" s="15">
        <f>ROUND(SUMPRODUCT(SUMIF(Final!$G$4:$G$330,CashReserveLevy!D236:F236,Final!$E$4:$E$330)),0)</f>
        <v>1605465</v>
      </c>
      <c r="K236" s="15">
        <f t="shared" si="23"/>
        <v>377263</v>
      </c>
      <c r="L236" s="37">
        <f>INDEX(ActualCRLevy_SAS!$A$2:$D$326,MATCH(CashReserveLevy!$C236,ActualCRLevy_SAS!$B$2:$B$326,0),4)</f>
        <v>377263</v>
      </c>
      <c r="M236" s="38" t="str">
        <f t="shared" si="24"/>
        <v>Max</v>
      </c>
      <c r="N236" s="17" t="str">
        <f t="shared" si="25"/>
        <v/>
      </c>
      <c r="O236" s="17" t="str">
        <f t="shared" si="28"/>
        <v/>
      </c>
      <c r="Q236" s="36">
        <f t="shared" si="26"/>
        <v>0</v>
      </c>
      <c r="U236" s="37">
        <v>377263</v>
      </c>
      <c r="V236" s="36">
        <f t="shared" si="27"/>
        <v>0</v>
      </c>
    </row>
    <row r="237" spans="1:22" x14ac:dyDescent="0.2">
      <c r="A237" s="14">
        <v>2024</v>
      </c>
      <c r="B237" s="14" t="s">
        <v>8</v>
      </c>
      <c r="C237" s="14" t="s">
        <v>484</v>
      </c>
      <c r="D237" s="14" t="s">
        <v>688</v>
      </c>
      <c r="E237" s="14" t="s">
        <v>688</v>
      </c>
      <c r="F237" s="14" t="s">
        <v>484</v>
      </c>
      <c r="G237" s="14" t="s">
        <v>485</v>
      </c>
      <c r="H237" s="15">
        <f>ROUND(SUMPRODUCT(SUMIF(Final!$G$4:$G$330,CashReserveLevy!D237:F237,Final!$C$4:$C$330)),0)</f>
        <v>13779989</v>
      </c>
      <c r="I237" s="15">
        <f t="shared" si="22"/>
        <v>2755998</v>
      </c>
      <c r="J237" s="15">
        <f>ROUND(SUMPRODUCT(SUMIF(Final!$G$4:$G$330,CashReserveLevy!D237:F237,Final!$E$4:$E$330)),0)</f>
        <v>4097317</v>
      </c>
      <c r="K237" s="15">
        <f t="shared" si="23"/>
        <v>0</v>
      </c>
      <c r="L237" s="37">
        <f>INDEX(ActualCRLevy_SAS!$A$2:$D$326,MATCH(CashReserveLevy!$C237,ActualCRLevy_SAS!$B$2:$B$326,0),4)</f>
        <v>0</v>
      </c>
      <c r="M237" s="38" t="str">
        <f t="shared" si="24"/>
        <v/>
      </c>
      <c r="N237" s="17" t="str">
        <f t="shared" si="25"/>
        <v/>
      </c>
      <c r="O237" s="17" t="str">
        <f t="shared" si="28"/>
        <v/>
      </c>
      <c r="Q237" s="36">
        <f t="shared" si="26"/>
        <v>0</v>
      </c>
      <c r="U237" s="37">
        <v>0</v>
      </c>
      <c r="V237" s="36">
        <f t="shared" si="27"/>
        <v>0</v>
      </c>
    </row>
    <row r="238" spans="1:22" x14ac:dyDescent="0.2">
      <c r="A238" s="14">
        <v>2024</v>
      </c>
      <c r="B238" s="14" t="s">
        <v>11</v>
      </c>
      <c r="C238" s="14" t="s">
        <v>486</v>
      </c>
      <c r="D238" s="14" t="s">
        <v>688</v>
      </c>
      <c r="E238" s="14" t="s">
        <v>688</v>
      </c>
      <c r="F238" s="14" t="s">
        <v>486</v>
      </c>
      <c r="G238" s="14" t="s">
        <v>487</v>
      </c>
      <c r="H238" s="15">
        <f>ROUND(SUMPRODUCT(SUMIF(Final!$G$4:$G$330,CashReserveLevy!D238:F238,Final!$C$4:$C$330)),0)</f>
        <v>5393283</v>
      </c>
      <c r="I238" s="15">
        <f t="shared" si="22"/>
        <v>1078657</v>
      </c>
      <c r="J238" s="15">
        <f>ROUND(SUMPRODUCT(SUMIF(Final!$G$4:$G$330,CashReserveLevy!D238:F238,Final!$E$4:$E$330)),0)</f>
        <v>1835046</v>
      </c>
      <c r="K238" s="15">
        <f t="shared" si="23"/>
        <v>0</v>
      </c>
      <c r="L238" s="37">
        <f>INDEX(ActualCRLevy_SAS!$A$2:$D$326,MATCH(CashReserveLevy!$C238,ActualCRLevy_SAS!$B$2:$B$326,0),4)</f>
        <v>0</v>
      </c>
      <c r="M238" s="38" t="str">
        <f t="shared" si="24"/>
        <v/>
      </c>
      <c r="N238" s="17" t="str">
        <f t="shared" si="25"/>
        <v/>
      </c>
      <c r="O238" s="17" t="str">
        <f t="shared" si="28"/>
        <v/>
      </c>
      <c r="Q238" s="36">
        <f t="shared" si="26"/>
        <v>0</v>
      </c>
      <c r="U238" s="37">
        <v>0</v>
      </c>
      <c r="V238" s="36">
        <f t="shared" si="27"/>
        <v>0</v>
      </c>
    </row>
    <row r="239" spans="1:22" x14ac:dyDescent="0.2">
      <c r="A239" s="14">
        <v>2024</v>
      </c>
      <c r="B239" s="14" t="s">
        <v>28</v>
      </c>
      <c r="C239" s="14" t="s">
        <v>488</v>
      </c>
      <c r="D239" s="14" t="s">
        <v>688</v>
      </c>
      <c r="E239" s="14" t="s">
        <v>688</v>
      </c>
      <c r="F239" s="14" t="s">
        <v>488</v>
      </c>
      <c r="G239" s="14" t="s">
        <v>489</v>
      </c>
      <c r="H239" s="15">
        <f>ROUND(SUMPRODUCT(SUMIF(Final!$G$4:$G$330,CashReserveLevy!D239:F239,Final!$C$4:$C$330)),0)</f>
        <v>5457615</v>
      </c>
      <c r="I239" s="15">
        <f t="shared" si="22"/>
        <v>1091523</v>
      </c>
      <c r="J239" s="15">
        <f>ROUND(SUMPRODUCT(SUMIF(Final!$G$4:$G$330,CashReserveLevy!D239:F239,Final!$E$4:$E$330)),0)</f>
        <v>1849531</v>
      </c>
      <c r="K239" s="15">
        <f t="shared" si="23"/>
        <v>0</v>
      </c>
      <c r="L239" s="37">
        <f>INDEX(ActualCRLevy_SAS!$A$2:$D$326,MATCH(CashReserveLevy!$C239,ActualCRLevy_SAS!$B$2:$B$326,0),4)</f>
        <v>0</v>
      </c>
      <c r="M239" s="38" t="str">
        <f t="shared" si="24"/>
        <v/>
      </c>
      <c r="N239" s="17" t="str">
        <f t="shared" si="25"/>
        <v/>
      </c>
      <c r="O239" s="17" t="str">
        <f t="shared" si="28"/>
        <v/>
      </c>
      <c r="Q239" s="36">
        <f t="shared" si="26"/>
        <v>0</v>
      </c>
      <c r="U239" s="37">
        <v>0</v>
      </c>
      <c r="V239" s="36">
        <f t="shared" si="27"/>
        <v>0</v>
      </c>
    </row>
    <row r="240" spans="1:22" x14ac:dyDescent="0.2">
      <c r="A240" s="14">
        <v>2024</v>
      </c>
      <c r="B240" s="14" t="s">
        <v>11</v>
      </c>
      <c r="C240" s="14" t="s">
        <v>490</v>
      </c>
      <c r="D240" s="14" t="s">
        <v>688</v>
      </c>
      <c r="E240" s="14" t="s">
        <v>688</v>
      </c>
      <c r="F240" s="14" t="s">
        <v>490</v>
      </c>
      <c r="G240" s="14" t="s">
        <v>491</v>
      </c>
      <c r="H240" s="15">
        <f>ROUND(SUMPRODUCT(SUMIF(Final!$G$4:$G$330,CashReserveLevy!D240:F240,Final!$C$4:$C$330)),0)</f>
        <v>5679236</v>
      </c>
      <c r="I240" s="15">
        <f t="shared" si="22"/>
        <v>1135847</v>
      </c>
      <c r="J240" s="15">
        <f>ROUND(SUMPRODUCT(SUMIF(Final!$G$4:$G$330,CashReserveLevy!D240:F240,Final!$E$4:$E$330)),0)</f>
        <v>1971961</v>
      </c>
      <c r="K240" s="15">
        <f t="shared" si="23"/>
        <v>0</v>
      </c>
      <c r="L240" s="37">
        <f>INDEX(ActualCRLevy_SAS!$A$2:$D$326,MATCH(CashReserveLevy!$C240,ActualCRLevy_SAS!$B$2:$B$326,0),4)</f>
        <v>0</v>
      </c>
      <c r="M240" s="38" t="str">
        <f t="shared" si="24"/>
        <v/>
      </c>
      <c r="N240" s="17" t="str">
        <f t="shared" si="25"/>
        <v/>
      </c>
      <c r="O240" s="17" t="str">
        <f t="shared" si="28"/>
        <v/>
      </c>
      <c r="Q240" s="36">
        <f t="shared" si="26"/>
        <v>0</v>
      </c>
      <c r="U240" s="37">
        <v>0</v>
      </c>
      <c r="V240" s="36">
        <f t="shared" si="27"/>
        <v>0</v>
      </c>
    </row>
    <row r="241" spans="1:22" x14ac:dyDescent="0.2">
      <c r="A241" s="14">
        <v>2024</v>
      </c>
      <c r="B241" s="14" t="s">
        <v>8</v>
      </c>
      <c r="C241" s="14" t="s">
        <v>492</v>
      </c>
      <c r="D241" s="14" t="s">
        <v>688</v>
      </c>
      <c r="E241" s="14" t="s">
        <v>688</v>
      </c>
      <c r="F241" s="14" t="s">
        <v>493</v>
      </c>
      <c r="G241" s="14" t="s">
        <v>494</v>
      </c>
      <c r="H241" s="15">
        <f>ROUND(SUMPRODUCT(SUMIF(Final!$G$4:$G$330,CashReserveLevy!D241:F241,Final!$C$4:$C$330)),0)</f>
        <v>9488000</v>
      </c>
      <c r="I241" s="15">
        <f t="shared" si="22"/>
        <v>1897600</v>
      </c>
      <c r="J241" s="15">
        <f>ROUND(SUMPRODUCT(SUMIF(Final!$G$4:$G$330,CashReserveLevy!D241:F241,Final!$E$4:$E$330)),0)</f>
        <v>931127</v>
      </c>
      <c r="K241" s="15">
        <f t="shared" si="23"/>
        <v>966473</v>
      </c>
      <c r="L241" s="37">
        <f>INDEX(ActualCRLevy_SAS!$A$2:$D$326,MATCH(CashReserveLevy!$C241,ActualCRLevy_SAS!$B$2:$B$326,0),4)</f>
        <v>966365</v>
      </c>
      <c r="M241" s="38" t="str">
        <f t="shared" si="24"/>
        <v/>
      </c>
      <c r="N241" s="17" t="str">
        <f t="shared" si="25"/>
        <v/>
      </c>
      <c r="O241" s="17" t="str">
        <f t="shared" si="28"/>
        <v/>
      </c>
      <c r="Q241" s="36">
        <f t="shared" si="26"/>
        <v>108</v>
      </c>
      <c r="U241" s="37">
        <v>966473</v>
      </c>
      <c r="V241" s="36">
        <f t="shared" si="27"/>
        <v>0</v>
      </c>
    </row>
    <row r="242" spans="1:22" x14ac:dyDescent="0.2">
      <c r="A242" s="14">
        <v>2024</v>
      </c>
      <c r="B242" s="14" t="s">
        <v>11</v>
      </c>
      <c r="C242" s="14" t="s">
        <v>495</v>
      </c>
      <c r="D242" s="14" t="s">
        <v>688</v>
      </c>
      <c r="E242" s="14" t="s">
        <v>688</v>
      </c>
      <c r="F242" s="14" t="s">
        <v>495</v>
      </c>
      <c r="G242" s="14" t="s">
        <v>496</v>
      </c>
      <c r="H242" s="15">
        <f>ROUND(SUMPRODUCT(SUMIF(Final!$G$4:$G$330,CashReserveLevy!D242:F242,Final!$C$4:$C$330)),0)</f>
        <v>11734416</v>
      </c>
      <c r="I242" s="15">
        <f t="shared" si="22"/>
        <v>2346883</v>
      </c>
      <c r="J242" s="15">
        <f>ROUND(SUMPRODUCT(SUMIF(Final!$G$4:$G$330,CashReserveLevy!D242:F242,Final!$E$4:$E$330)),0)</f>
        <v>3248412</v>
      </c>
      <c r="K242" s="15">
        <f t="shared" si="23"/>
        <v>0</v>
      </c>
      <c r="L242" s="37">
        <f>INDEX(ActualCRLevy_SAS!$A$2:$D$326,MATCH(CashReserveLevy!$C242,ActualCRLevy_SAS!$B$2:$B$326,0),4)</f>
        <v>0</v>
      </c>
      <c r="M242" s="38" t="str">
        <f t="shared" si="24"/>
        <v/>
      </c>
      <c r="N242" s="17" t="str">
        <f t="shared" si="25"/>
        <v/>
      </c>
      <c r="O242" s="17" t="str">
        <f t="shared" si="28"/>
        <v/>
      </c>
      <c r="Q242" s="36">
        <f t="shared" si="26"/>
        <v>0</v>
      </c>
      <c r="U242" s="37">
        <v>0</v>
      </c>
      <c r="V242" s="36">
        <f t="shared" si="27"/>
        <v>0</v>
      </c>
    </row>
    <row r="243" spans="1:22" x14ac:dyDescent="0.2">
      <c r="A243" s="14">
        <v>2024</v>
      </c>
      <c r="B243" s="14" t="s">
        <v>0</v>
      </c>
      <c r="C243" s="14" t="s">
        <v>497</v>
      </c>
      <c r="D243" s="14" t="s">
        <v>688</v>
      </c>
      <c r="E243" s="14" t="s">
        <v>688</v>
      </c>
      <c r="F243" s="14" t="s">
        <v>497</v>
      </c>
      <c r="G243" s="14" t="s">
        <v>498</v>
      </c>
      <c r="H243" s="15">
        <f>ROUND(SUMPRODUCT(SUMIF(Final!$G$4:$G$330,CashReserveLevy!D243:F243,Final!$C$4:$C$330)),0)</f>
        <v>12660444</v>
      </c>
      <c r="I243" s="15">
        <f t="shared" si="22"/>
        <v>2532089</v>
      </c>
      <c r="J243" s="15">
        <f>ROUND(SUMPRODUCT(SUMIF(Final!$G$4:$G$330,CashReserveLevy!D243:F243,Final!$E$4:$E$330)),0)</f>
        <v>2494577</v>
      </c>
      <c r="K243" s="15">
        <f t="shared" si="23"/>
        <v>37512</v>
      </c>
      <c r="L243" s="37">
        <f>INDEX(ActualCRLevy_SAS!$A$2:$D$326,MATCH(CashReserveLevy!$C243,ActualCRLevy_SAS!$B$2:$B$326,0),4)</f>
        <v>37512</v>
      </c>
      <c r="M243" s="38" t="str">
        <f t="shared" si="24"/>
        <v>Max</v>
      </c>
      <c r="N243" s="17" t="str">
        <f t="shared" si="25"/>
        <v/>
      </c>
      <c r="O243" s="17" t="str">
        <f t="shared" si="28"/>
        <v/>
      </c>
      <c r="Q243" s="36">
        <f t="shared" si="26"/>
        <v>0</v>
      </c>
      <c r="U243" s="37">
        <v>37512</v>
      </c>
      <c r="V243" s="36">
        <f t="shared" si="27"/>
        <v>0</v>
      </c>
    </row>
    <row r="244" spans="1:22" x14ac:dyDescent="0.2">
      <c r="A244" s="14">
        <v>2024</v>
      </c>
      <c r="B244" s="14" t="s">
        <v>5</v>
      </c>
      <c r="C244" s="14" t="s">
        <v>499</v>
      </c>
      <c r="D244" s="14" t="s">
        <v>688</v>
      </c>
      <c r="E244" s="14" t="s">
        <v>688</v>
      </c>
      <c r="F244" s="14" t="s">
        <v>499</v>
      </c>
      <c r="G244" s="14" t="s">
        <v>500</v>
      </c>
      <c r="H244" s="15">
        <f>ROUND(SUMPRODUCT(SUMIF(Final!$G$4:$G$330,CashReserveLevy!D244:F244,Final!$C$4:$C$330)),0)</f>
        <v>5544820</v>
      </c>
      <c r="I244" s="15">
        <f t="shared" si="22"/>
        <v>1108964</v>
      </c>
      <c r="J244" s="15">
        <f>ROUND(SUMPRODUCT(SUMIF(Final!$G$4:$G$330,CashReserveLevy!D244:F244,Final!$E$4:$E$330)),0)</f>
        <v>1534779</v>
      </c>
      <c r="K244" s="15">
        <f t="shared" si="23"/>
        <v>0</v>
      </c>
      <c r="L244" s="37">
        <f>INDEX(ActualCRLevy_SAS!$A$2:$D$326,MATCH(CashReserveLevy!$C244,ActualCRLevy_SAS!$B$2:$B$326,0),4)</f>
        <v>0</v>
      </c>
      <c r="M244" s="38" t="str">
        <f t="shared" si="24"/>
        <v/>
      </c>
      <c r="N244" s="17" t="str">
        <f t="shared" si="25"/>
        <v/>
      </c>
      <c r="O244" s="17" t="str">
        <f t="shared" si="28"/>
        <v/>
      </c>
      <c r="Q244" s="36">
        <f t="shared" si="26"/>
        <v>0</v>
      </c>
      <c r="U244" s="37">
        <v>0</v>
      </c>
      <c r="V244" s="36">
        <f t="shared" si="27"/>
        <v>0</v>
      </c>
    </row>
    <row r="245" spans="1:22" x14ac:dyDescent="0.2">
      <c r="A245" s="14">
        <v>2024</v>
      </c>
      <c r="B245" s="14" t="s">
        <v>14</v>
      </c>
      <c r="C245" s="14" t="s">
        <v>501</v>
      </c>
      <c r="D245" s="14" t="s">
        <v>688</v>
      </c>
      <c r="E245" s="14" t="s">
        <v>688</v>
      </c>
      <c r="F245" s="14" t="s">
        <v>501</v>
      </c>
      <c r="G245" s="14" t="s">
        <v>502</v>
      </c>
      <c r="H245" s="15">
        <f>ROUND(SUMPRODUCT(SUMIF(Final!$G$4:$G$330,CashReserveLevy!D245:F245,Final!$C$4:$C$330)),0)</f>
        <v>2867263</v>
      </c>
      <c r="I245" s="15">
        <f t="shared" si="22"/>
        <v>573453</v>
      </c>
      <c r="J245" s="15">
        <f>ROUND(SUMPRODUCT(SUMIF(Final!$G$4:$G$330,CashReserveLevy!D245:F245,Final!$E$4:$E$330)),0)</f>
        <v>1134180</v>
      </c>
      <c r="K245" s="15">
        <f t="shared" si="23"/>
        <v>0</v>
      </c>
      <c r="L245" s="37">
        <f>INDEX(ActualCRLevy_SAS!$A$2:$D$326,MATCH(CashReserveLevy!$C245,ActualCRLevy_SAS!$B$2:$B$326,0),4)</f>
        <v>0</v>
      </c>
      <c r="M245" s="38" t="str">
        <f t="shared" si="24"/>
        <v/>
      </c>
      <c r="N245" s="17" t="str">
        <f t="shared" si="25"/>
        <v/>
      </c>
      <c r="O245" s="17" t="str">
        <f t="shared" si="28"/>
        <v/>
      </c>
      <c r="Q245" s="36">
        <f t="shared" si="26"/>
        <v>0</v>
      </c>
      <c r="U245" s="37">
        <v>0</v>
      </c>
      <c r="V245" s="36">
        <f t="shared" si="27"/>
        <v>0</v>
      </c>
    </row>
    <row r="246" spans="1:22" x14ac:dyDescent="0.2">
      <c r="A246" s="14">
        <v>2024</v>
      </c>
      <c r="B246" s="14" t="s">
        <v>0</v>
      </c>
      <c r="C246" s="14" t="s">
        <v>503</v>
      </c>
      <c r="D246" s="14" t="s">
        <v>688</v>
      </c>
      <c r="E246" s="14" t="s">
        <v>688</v>
      </c>
      <c r="F246" s="14" t="s">
        <v>503</v>
      </c>
      <c r="G246" s="14" t="s">
        <v>504</v>
      </c>
      <c r="H246" s="15">
        <f>ROUND(SUMPRODUCT(SUMIF(Final!$G$4:$G$330,CashReserveLevy!D246:F246,Final!$C$4:$C$330)),0)</f>
        <v>20009595</v>
      </c>
      <c r="I246" s="15">
        <f t="shared" si="22"/>
        <v>4001919</v>
      </c>
      <c r="J246" s="15">
        <f>ROUND(SUMPRODUCT(SUMIF(Final!$G$4:$G$330,CashReserveLevy!D246:F246,Final!$E$4:$E$330)),0)</f>
        <v>341828</v>
      </c>
      <c r="K246" s="15">
        <f t="shared" si="23"/>
        <v>3660091</v>
      </c>
      <c r="L246" s="37">
        <f>INDEX(ActualCRLevy_SAS!$A$2:$D$326,MATCH(CashReserveLevy!$C246,ActualCRLevy_SAS!$B$2:$B$326,0),4)</f>
        <v>3600091</v>
      </c>
      <c r="M246" s="38" t="str">
        <f t="shared" si="24"/>
        <v/>
      </c>
      <c r="N246" s="17" t="str">
        <f t="shared" si="25"/>
        <v/>
      </c>
      <c r="O246" s="17" t="str">
        <f t="shared" si="28"/>
        <v/>
      </c>
      <c r="Q246" s="36">
        <f t="shared" si="26"/>
        <v>60000</v>
      </c>
      <c r="U246" s="37">
        <v>3660091</v>
      </c>
      <c r="V246" s="36">
        <f t="shared" si="27"/>
        <v>0</v>
      </c>
    </row>
    <row r="247" spans="1:22" x14ac:dyDescent="0.2">
      <c r="A247" s="14">
        <v>2024</v>
      </c>
      <c r="B247" s="14" t="s">
        <v>14</v>
      </c>
      <c r="C247" s="14" t="s">
        <v>505</v>
      </c>
      <c r="D247" s="14" t="s">
        <v>688</v>
      </c>
      <c r="E247" s="14" t="s">
        <v>688</v>
      </c>
      <c r="F247" s="14" t="s">
        <v>505</v>
      </c>
      <c r="G247" s="14" t="s">
        <v>506</v>
      </c>
      <c r="H247" s="15">
        <f>ROUND(SUMPRODUCT(SUMIF(Final!$G$4:$G$330,CashReserveLevy!D247:F247,Final!$C$4:$C$330)),0)</f>
        <v>5516729</v>
      </c>
      <c r="I247" s="15">
        <f t="shared" si="22"/>
        <v>1103346</v>
      </c>
      <c r="J247" s="15">
        <f>ROUND(SUMPRODUCT(SUMIF(Final!$G$4:$G$330,CashReserveLevy!D247:F247,Final!$E$4:$E$330)),0)</f>
        <v>2052217</v>
      </c>
      <c r="K247" s="15">
        <f t="shared" si="23"/>
        <v>0</v>
      </c>
      <c r="L247" s="37">
        <f>INDEX(ActualCRLevy_SAS!$A$2:$D$326,MATCH(CashReserveLevy!$C247,ActualCRLevy_SAS!$B$2:$B$326,0),4)</f>
        <v>0</v>
      </c>
      <c r="M247" s="38" t="str">
        <f t="shared" si="24"/>
        <v/>
      </c>
      <c r="N247" s="17" t="str">
        <f t="shared" si="25"/>
        <v/>
      </c>
      <c r="O247" s="17" t="str">
        <f t="shared" si="28"/>
        <v/>
      </c>
      <c r="Q247" s="36">
        <f t="shared" si="26"/>
        <v>0</v>
      </c>
      <c r="U247" s="37">
        <v>0</v>
      </c>
      <c r="V247" s="36">
        <f t="shared" si="27"/>
        <v>0</v>
      </c>
    </row>
    <row r="248" spans="1:22" x14ac:dyDescent="0.2">
      <c r="A248" s="14">
        <v>2024</v>
      </c>
      <c r="B248" s="14" t="s">
        <v>11</v>
      </c>
      <c r="C248" s="14" t="s">
        <v>507</v>
      </c>
      <c r="D248" s="14" t="s">
        <v>688</v>
      </c>
      <c r="E248" s="14" t="s">
        <v>688</v>
      </c>
      <c r="F248" s="14" t="s">
        <v>507</v>
      </c>
      <c r="G248" s="14" t="s">
        <v>508</v>
      </c>
      <c r="H248" s="15">
        <f>ROUND(SUMPRODUCT(SUMIF(Final!$G$4:$G$330,CashReserveLevy!D248:F248,Final!$C$4:$C$330)),0)</f>
        <v>3720313</v>
      </c>
      <c r="I248" s="15">
        <f t="shared" si="22"/>
        <v>744063</v>
      </c>
      <c r="J248" s="15">
        <f>ROUND(SUMPRODUCT(SUMIF(Final!$G$4:$G$330,CashReserveLevy!D248:F248,Final!$E$4:$E$330)),0)</f>
        <v>1637824</v>
      </c>
      <c r="K248" s="15">
        <f t="shared" si="23"/>
        <v>0</v>
      </c>
      <c r="L248" s="37">
        <f>INDEX(ActualCRLevy_SAS!$A$2:$D$326,MATCH(CashReserveLevy!$C248,ActualCRLevy_SAS!$B$2:$B$326,0),4)</f>
        <v>0</v>
      </c>
      <c r="M248" s="38" t="str">
        <f t="shared" si="24"/>
        <v/>
      </c>
      <c r="N248" s="17" t="str">
        <f t="shared" si="25"/>
        <v/>
      </c>
      <c r="O248" s="17" t="str">
        <f t="shared" si="28"/>
        <v/>
      </c>
      <c r="Q248" s="36">
        <f t="shared" si="26"/>
        <v>0</v>
      </c>
      <c r="U248" s="37">
        <v>0</v>
      </c>
      <c r="V248" s="36">
        <f t="shared" si="27"/>
        <v>0</v>
      </c>
    </row>
    <row r="249" spans="1:22" x14ac:dyDescent="0.2">
      <c r="A249" s="14">
        <v>2024</v>
      </c>
      <c r="B249" s="14" t="s">
        <v>11</v>
      </c>
      <c r="C249" s="14" t="s">
        <v>509</v>
      </c>
      <c r="D249" s="14" t="s">
        <v>688</v>
      </c>
      <c r="E249" s="14" t="s">
        <v>688</v>
      </c>
      <c r="F249" s="14" t="s">
        <v>509</v>
      </c>
      <c r="G249" s="14" t="s">
        <v>510</v>
      </c>
      <c r="H249" s="15">
        <f>ROUND(SUMPRODUCT(SUMIF(Final!$G$4:$G$330,CashReserveLevy!D249:F249,Final!$C$4:$C$330)),0)</f>
        <v>20522137</v>
      </c>
      <c r="I249" s="15">
        <f t="shared" si="22"/>
        <v>4104427</v>
      </c>
      <c r="J249" s="15">
        <f>ROUND(SUMPRODUCT(SUMIF(Final!$G$4:$G$330,CashReserveLevy!D249:F249,Final!$E$4:$E$330)),0)</f>
        <v>4711303</v>
      </c>
      <c r="K249" s="15">
        <f t="shared" si="23"/>
        <v>0</v>
      </c>
      <c r="L249" s="37">
        <f>INDEX(ActualCRLevy_SAS!$A$2:$D$326,MATCH(CashReserveLevy!$C249,ActualCRLevy_SAS!$B$2:$B$326,0),4)</f>
        <v>0</v>
      </c>
      <c r="M249" s="38" t="str">
        <f t="shared" si="24"/>
        <v/>
      </c>
      <c r="N249" s="17" t="str">
        <f t="shared" si="25"/>
        <v/>
      </c>
      <c r="O249" s="17" t="str">
        <f t="shared" si="28"/>
        <v/>
      </c>
      <c r="Q249" s="36">
        <f t="shared" si="26"/>
        <v>0</v>
      </c>
      <c r="U249" s="37">
        <v>0</v>
      </c>
      <c r="V249" s="36">
        <f t="shared" si="27"/>
        <v>0</v>
      </c>
    </row>
    <row r="250" spans="1:22" x14ac:dyDescent="0.2">
      <c r="A250" s="14">
        <v>2024</v>
      </c>
      <c r="B250" s="14" t="s">
        <v>17</v>
      </c>
      <c r="C250" s="14" t="s">
        <v>511</v>
      </c>
      <c r="D250" s="14" t="s">
        <v>688</v>
      </c>
      <c r="E250" s="14" t="s">
        <v>688</v>
      </c>
      <c r="F250" s="14" t="s">
        <v>511</v>
      </c>
      <c r="G250" s="14" t="s">
        <v>512</v>
      </c>
      <c r="H250" s="15">
        <f>ROUND(SUMPRODUCT(SUMIF(Final!$G$4:$G$330,CashReserveLevy!D250:F250,Final!$C$4:$C$330)),0)</f>
        <v>4625587</v>
      </c>
      <c r="I250" s="15">
        <f t="shared" si="22"/>
        <v>925117</v>
      </c>
      <c r="J250" s="15">
        <f>ROUND(SUMPRODUCT(SUMIF(Final!$G$4:$G$330,CashReserveLevy!D250:F250,Final!$E$4:$E$330)),0)</f>
        <v>1525466</v>
      </c>
      <c r="K250" s="15">
        <f t="shared" si="23"/>
        <v>0</v>
      </c>
      <c r="L250" s="37">
        <f>INDEX(ActualCRLevy_SAS!$A$2:$D$326,MATCH(CashReserveLevy!$C250,ActualCRLevy_SAS!$B$2:$B$326,0),4)</f>
        <v>0</v>
      </c>
      <c r="M250" s="38" t="str">
        <f t="shared" si="24"/>
        <v/>
      </c>
      <c r="N250" s="17" t="str">
        <f t="shared" si="25"/>
        <v/>
      </c>
      <c r="O250" s="17" t="str">
        <f t="shared" si="28"/>
        <v/>
      </c>
      <c r="Q250" s="36">
        <f t="shared" si="26"/>
        <v>0</v>
      </c>
      <c r="U250" s="37">
        <v>0</v>
      </c>
      <c r="V250" s="36">
        <f t="shared" si="27"/>
        <v>0</v>
      </c>
    </row>
    <row r="251" spans="1:22" x14ac:dyDescent="0.2">
      <c r="A251" s="14">
        <v>2024</v>
      </c>
      <c r="B251" s="14" t="s">
        <v>11</v>
      </c>
      <c r="C251" s="14" t="s">
        <v>513</v>
      </c>
      <c r="D251" s="14" t="s">
        <v>688</v>
      </c>
      <c r="E251" s="14" t="s">
        <v>688</v>
      </c>
      <c r="F251" s="14" t="s">
        <v>513</v>
      </c>
      <c r="G251" s="14" t="s">
        <v>514</v>
      </c>
      <c r="H251" s="15">
        <f>ROUND(SUMPRODUCT(SUMIF(Final!$G$4:$G$330,CashReserveLevy!D251:F251,Final!$C$4:$C$330)),0)</f>
        <v>13639845</v>
      </c>
      <c r="I251" s="15">
        <f t="shared" si="22"/>
        <v>2727969</v>
      </c>
      <c r="J251" s="15">
        <f>ROUND(SUMPRODUCT(SUMIF(Final!$G$4:$G$330,CashReserveLevy!D251:F251,Final!$E$4:$E$330)),0)</f>
        <v>5276103</v>
      </c>
      <c r="K251" s="15">
        <f t="shared" si="23"/>
        <v>0</v>
      </c>
      <c r="L251" s="37">
        <f>INDEX(ActualCRLevy_SAS!$A$2:$D$326,MATCH(CashReserveLevy!$C251,ActualCRLevy_SAS!$B$2:$B$326,0),4)</f>
        <v>0</v>
      </c>
      <c r="M251" s="38" t="str">
        <f t="shared" si="24"/>
        <v/>
      </c>
      <c r="N251" s="17" t="str">
        <f t="shared" si="25"/>
        <v/>
      </c>
      <c r="O251" s="17" t="str">
        <f t="shared" si="28"/>
        <v/>
      </c>
      <c r="Q251" s="36">
        <f t="shared" si="26"/>
        <v>0</v>
      </c>
      <c r="U251" s="37">
        <v>0</v>
      </c>
      <c r="V251" s="36">
        <f t="shared" si="27"/>
        <v>0</v>
      </c>
    </row>
    <row r="252" spans="1:22" x14ac:dyDescent="0.2">
      <c r="A252" s="14">
        <v>2024</v>
      </c>
      <c r="B252" s="14" t="s">
        <v>8</v>
      </c>
      <c r="C252" s="14" t="s">
        <v>515</v>
      </c>
      <c r="D252" s="14" t="s">
        <v>688</v>
      </c>
      <c r="E252" s="14" t="s">
        <v>688</v>
      </c>
      <c r="F252" s="14" t="s">
        <v>515</v>
      </c>
      <c r="G252" s="14" t="s">
        <v>516</v>
      </c>
      <c r="H252" s="15">
        <f>ROUND(SUMPRODUCT(SUMIF(Final!$G$4:$G$330,CashReserveLevy!D252:F252,Final!$C$4:$C$330)),0)</f>
        <v>15567273</v>
      </c>
      <c r="I252" s="15">
        <f t="shared" si="22"/>
        <v>3113455</v>
      </c>
      <c r="J252" s="15">
        <f>ROUND(SUMPRODUCT(SUMIF(Final!$G$4:$G$330,CashReserveLevy!D252:F252,Final!$E$4:$E$330)),0)</f>
        <v>1790226</v>
      </c>
      <c r="K252" s="15">
        <f t="shared" si="23"/>
        <v>1323229</v>
      </c>
      <c r="L252" s="37">
        <f>INDEX(ActualCRLevy_SAS!$A$2:$D$326,MATCH(CashReserveLevy!$C252,ActualCRLevy_SAS!$B$2:$B$326,0),4)</f>
        <v>655000</v>
      </c>
      <c r="M252" s="38" t="str">
        <f t="shared" si="24"/>
        <v/>
      </c>
      <c r="N252" s="17" t="str">
        <f t="shared" si="25"/>
        <v/>
      </c>
      <c r="O252" s="17" t="str">
        <f t="shared" si="28"/>
        <v/>
      </c>
      <c r="Q252" s="36">
        <f t="shared" si="26"/>
        <v>668229</v>
      </c>
      <c r="U252" s="37">
        <v>1323229</v>
      </c>
      <c r="V252" s="36">
        <f t="shared" si="27"/>
        <v>0</v>
      </c>
    </row>
    <row r="253" spans="1:22" x14ac:dyDescent="0.2">
      <c r="A253" s="14">
        <v>2024</v>
      </c>
      <c r="B253" s="14" t="s">
        <v>11</v>
      </c>
      <c r="C253" s="14" t="s">
        <v>517</v>
      </c>
      <c r="D253" s="14" t="s">
        <v>688</v>
      </c>
      <c r="E253" s="14" t="s">
        <v>688</v>
      </c>
      <c r="F253" s="14" t="s">
        <v>517</v>
      </c>
      <c r="G253" s="14" t="s">
        <v>518</v>
      </c>
      <c r="H253" s="15">
        <f>ROUND(SUMPRODUCT(SUMIF(Final!$G$4:$G$330,CashReserveLevy!D253:F253,Final!$C$4:$C$330)),0)</f>
        <v>9284187</v>
      </c>
      <c r="I253" s="15">
        <f t="shared" si="22"/>
        <v>1856837</v>
      </c>
      <c r="J253" s="15">
        <f>ROUND(SUMPRODUCT(SUMIF(Final!$G$4:$G$330,CashReserveLevy!D253:F253,Final!$E$4:$E$330)),0)</f>
        <v>3785592</v>
      </c>
      <c r="K253" s="15">
        <f t="shared" si="23"/>
        <v>0</v>
      </c>
      <c r="L253" s="37">
        <f>INDEX(ActualCRLevy_SAS!$A$2:$D$326,MATCH(CashReserveLevy!$C253,ActualCRLevy_SAS!$B$2:$B$326,0),4)</f>
        <v>0</v>
      </c>
      <c r="M253" s="38" t="str">
        <f t="shared" si="24"/>
        <v/>
      </c>
      <c r="N253" s="17" t="str">
        <f t="shared" si="25"/>
        <v/>
      </c>
      <c r="O253" s="17" t="str">
        <f t="shared" si="28"/>
        <v/>
      </c>
      <c r="Q253" s="36">
        <f t="shared" si="26"/>
        <v>0</v>
      </c>
      <c r="U253" s="37">
        <v>0</v>
      </c>
      <c r="V253" s="36">
        <f t="shared" si="27"/>
        <v>0</v>
      </c>
    </row>
    <row r="254" spans="1:22" x14ac:dyDescent="0.2">
      <c r="A254" s="14">
        <v>2024</v>
      </c>
      <c r="B254" s="14" t="s">
        <v>8</v>
      </c>
      <c r="C254" s="14" t="s">
        <v>519</v>
      </c>
      <c r="D254" s="14" t="s">
        <v>688</v>
      </c>
      <c r="E254" s="14" t="s">
        <v>688</v>
      </c>
      <c r="F254" s="14" t="s">
        <v>519</v>
      </c>
      <c r="G254" s="14" t="s">
        <v>520</v>
      </c>
      <c r="H254" s="15">
        <f>ROUND(SUMPRODUCT(SUMIF(Final!$G$4:$G$330,CashReserveLevy!D254:F254,Final!$C$4:$C$330)),0)</f>
        <v>6545512</v>
      </c>
      <c r="I254" s="15">
        <f t="shared" si="22"/>
        <v>1309102</v>
      </c>
      <c r="J254" s="15">
        <f>ROUND(SUMPRODUCT(SUMIF(Final!$G$4:$G$330,CashReserveLevy!D254:F254,Final!$E$4:$E$330)),0)</f>
        <v>1119353</v>
      </c>
      <c r="K254" s="15">
        <f t="shared" si="23"/>
        <v>189749</v>
      </c>
      <c r="L254" s="37">
        <f>INDEX(ActualCRLevy_SAS!$A$2:$D$326,MATCH(CashReserveLevy!$C254,ActualCRLevy_SAS!$B$2:$B$326,0),4)</f>
        <v>189749</v>
      </c>
      <c r="M254" s="38" t="str">
        <f t="shared" si="24"/>
        <v>Max</v>
      </c>
      <c r="N254" s="17" t="str">
        <f t="shared" si="25"/>
        <v/>
      </c>
      <c r="O254" s="17" t="str">
        <f t="shared" si="28"/>
        <v/>
      </c>
      <c r="Q254" s="36">
        <f t="shared" si="26"/>
        <v>0</v>
      </c>
      <c r="U254" s="37">
        <v>189749</v>
      </c>
      <c r="V254" s="36">
        <f t="shared" si="27"/>
        <v>0</v>
      </c>
    </row>
    <row r="255" spans="1:22" x14ac:dyDescent="0.2">
      <c r="A255" s="14">
        <v>2024</v>
      </c>
      <c r="B255" s="14" t="s">
        <v>17</v>
      </c>
      <c r="C255" s="14" t="s">
        <v>521</v>
      </c>
      <c r="D255" s="14" t="s">
        <v>688</v>
      </c>
      <c r="E255" s="14" t="s">
        <v>688</v>
      </c>
      <c r="F255" s="14" t="s">
        <v>521</v>
      </c>
      <c r="G255" s="14" t="s">
        <v>522</v>
      </c>
      <c r="H255" s="15">
        <f>ROUND(SUMPRODUCT(SUMIF(Final!$G$4:$G$330,CashReserveLevy!D255:F255,Final!$C$4:$C$330)),0)</f>
        <v>7806649</v>
      </c>
      <c r="I255" s="15">
        <f t="shared" si="22"/>
        <v>1561330</v>
      </c>
      <c r="J255" s="15">
        <f>ROUND(SUMPRODUCT(SUMIF(Final!$G$4:$G$330,CashReserveLevy!D255:F255,Final!$E$4:$E$330)),0)</f>
        <v>2702653</v>
      </c>
      <c r="K255" s="15">
        <f t="shared" si="23"/>
        <v>0</v>
      </c>
      <c r="L255" s="37">
        <f>INDEX(ActualCRLevy_SAS!$A$2:$D$326,MATCH(CashReserveLevy!$C255,ActualCRLevy_SAS!$B$2:$B$326,0),4)</f>
        <v>0</v>
      </c>
      <c r="M255" s="38" t="str">
        <f t="shared" si="24"/>
        <v/>
      </c>
      <c r="N255" s="17" t="str">
        <f t="shared" si="25"/>
        <v/>
      </c>
      <c r="O255" s="17" t="str">
        <f t="shared" si="28"/>
        <v/>
      </c>
      <c r="Q255" s="36">
        <f t="shared" si="26"/>
        <v>0</v>
      </c>
      <c r="U255" s="37">
        <v>0</v>
      </c>
      <c r="V255" s="36">
        <f t="shared" si="27"/>
        <v>0</v>
      </c>
    </row>
    <row r="256" spans="1:22" x14ac:dyDescent="0.2">
      <c r="A256" s="14">
        <v>2024</v>
      </c>
      <c r="B256" s="14" t="s">
        <v>11</v>
      </c>
      <c r="C256" s="14" t="s">
        <v>523</v>
      </c>
      <c r="D256" s="14" t="s">
        <v>688</v>
      </c>
      <c r="E256" s="14" t="s">
        <v>688</v>
      </c>
      <c r="F256" s="14" t="s">
        <v>523</v>
      </c>
      <c r="G256" s="14" t="s">
        <v>524</v>
      </c>
      <c r="H256" s="15">
        <f>ROUND(SUMPRODUCT(SUMIF(Final!$G$4:$G$330,CashReserveLevy!D256:F256,Final!$C$4:$C$330)),0)</f>
        <v>19665952</v>
      </c>
      <c r="I256" s="15">
        <f t="shared" si="22"/>
        <v>3933190</v>
      </c>
      <c r="J256" s="15">
        <f>ROUND(SUMPRODUCT(SUMIF(Final!$G$4:$G$330,CashReserveLevy!D256:F256,Final!$E$4:$E$330)),0)</f>
        <v>1643248</v>
      </c>
      <c r="K256" s="15">
        <f t="shared" si="23"/>
        <v>2289942</v>
      </c>
      <c r="L256" s="37">
        <f>INDEX(ActualCRLevy_SAS!$A$2:$D$326,MATCH(CashReserveLevy!$C256,ActualCRLevy_SAS!$B$2:$B$326,0),4)</f>
        <v>1139552</v>
      </c>
      <c r="M256" s="38" t="str">
        <f t="shared" si="24"/>
        <v/>
      </c>
      <c r="N256" s="17" t="str">
        <f t="shared" si="25"/>
        <v/>
      </c>
      <c r="O256" s="17" t="str">
        <f t="shared" si="28"/>
        <v/>
      </c>
      <c r="Q256" s="36">
        <f t="shared" si="26"/>
        <v>1150390</v>
      </c>
      <c r="U256" s="37">
        <v>2289942</v>
      </c>
      <c r="V256" s="36">
        <f t="shared" si="27"/>
        <v>0</v>
      </c>
    </row>
    <row r="257" spans="1:22" x14ac:dyDescent="0.2">
      <c r="A257" s="14">
        <v>2024</v>
      </c>
      <c r="B257" s="14" t="s">
        <v>14</v>
      </c>
      <c r="C257" s="14" t="s">
        <v>525</v>
      </c>
      <c r="D257" s="14" t="s">
        <v>688</v>
      </c>
      <c r="E257" s="14" t="s">
        <v>688</v>
      </c>
      <c r="F257" s="14" t="s">
        <v>526</v>
      </c>
      <c r="G257" s="14" t="s">
        <v>527</v>
      </c>
      <c r="H257" s="15">
        <f>ROUND(SUMPRODUCT(SUMIF(Final!$G$4:$G$330,CashReserveLevy!D257:F257,Final!$C$4:$C$330)),0)</f>
        <v>8081458</v>
      </c>
      <c r="I257" s="15">
        <f t="shared" si="22"/>
        <v>1616292</v>
      </c>
      <c r="J257" s="15">
        <f>ROUND(SUMPRODUCT(SUMIF(Final!$G$4:$G$330,CashReserveLevy!D257:F257,Final!$E$4:$E$330)),0)</f>
        <v>4178898</v>
      </c>
      <c r="K257" s="15">
        <f t="shared" si="23"/>
        <v>0</v>
      </c>
      <c r="L257" s="37">
        <f>INDEX(ActualCRLevy_SAS!$A$2:$D$326,MATCH(CashReserveLevy!$C257,ActualCRLevy_SAS!$B$2:$B$326,0),4)</f>
        <v>0</v>
      </c>
      <c r="M257" s="38" t="str">
        <f t="shared" si="24"/>
        <v/>
      </c>
      <c r="N257" s="17" t="str">
        <f t="shared" si="25"/>
        <v/>
      </c>
      <c r="O257" s="17" t="str">
        <f t="shared" si="28"/>
        <v/>
      </c>
      <c r="Q257" s="36">
        <f t="shared" si="26"/>
        <v>0</v>
      </c>
      <c r="U257" s="37">
        <v>0</v>
      </c>
      <c r="V257" s="36">
        <f t="shared" si="27"/>
        <v>0</v>
      </c>
    </row>
    <row r="258" spans="1:22" x14ac:dyDescent="0.2">
      <c r="A258" s="14">
        <v>2024</v>
      </c>
      <c r="B258" s="14" t="s">
        <v>11</v>
      </c>
      <c r="C258" s="14" t="s">
        <v>528</v>
      </c>
      <c r="D258" s="14" t="s">
        <v>688</v>
      </c>
      <c r="E258" s="14" t="s">
        <v>688</v>
      </c>
      <c r="F258" s="14" t="s">
        <v>528</v>
      </c>
      <c r="G258" s="14" t="s">
        <v>529</v>
      </c>
      <c r="H258" s="15">
        <f>ROUND(SUMPRODUCT(SUMIF(Final!$G$4:$G$330,CashReserveLevy!D258:F258,Final!$C$4:$C$330)),0)</f>
        <v>184581238</v>
      </c>
      <c r="I258" s="15">
        <f t="shared" si="22"/>
        <v>36916248</v>
      </c>
      <c r="J258" s="15">
        <f>ROUND(SUMPRODUCT(SUMIF(Final!$G$4:$G$330,CashReserveLevy!D258:F258,Final!$E$4:$E$330)),0)</f>
        <v>58382032</v>
      </c>
      <c r="K258" s="15">
        <f t="shared" si="23"/>
        <v>0</v>
      </c>
      <c r="L258" s="37">
        <f>INDEX(ActualCRLevy_SAS!$A$2:$D$326,MATCH(CashReserveLevy!$C258,ActualCRLevy_SAS!$B$2:$B$326,0),4)</f>
        <v>0</v>
      </c>
      <c r="M258" s="38" t="str">
        <f t="shared" si="24"/>
        <v/>
      </c>
      <c r="N258" s="17" t="str">
        <f t="shared" si="25"/>
        <v/>
      </c>
      <c r="O258" s="17" t="str">
        <f t="shared" si="28"/>
        <v/>
      </c>
      <c r="Q258" s="36">
        <f t="shared" si="26"/>
        <v>0</v>
      </c>
      <c r="U258" s="37">
        <v>0</v>
      </c>
      <c r="V258" s="36">
        <f t="shared" si="27"/>
        <v>0</v>
      </c>
    </row>
    <row r="259" spans="1:22" x14ac:dyDescent="0.2">
      <c r="A259" s="14">
        <v>2024</v>
      </c>
      <c r="B259" s="14" t="s">
        <v>20</v>
      </c>
      <c r="C259" s="14" t="s">
        <v>530</v>
      </c>
      <c r="D259" s="14" t="s">
        <v>688</v>
      </c>
      <c r="E259" s="14" t="s">
        <v>688</v>
      </c>
      <c r="F259" s="14" t="s">
        <v>530</v>
      </c>
      <c r="G259" s="14" t="s">
        <v>531</v>
      </c>
      <c r="H259" s="15">
        <f>ROUND(SUMPRODUCT(SUMIF(Final!$G$4:$G$330,CashReserveLevy!D259:F259,Final!$C$4:$C$330)),0)</f>
        <v>15980709</v>
      </c>
      <c r="I259" s="15">
        <f t="shared" si="22"/>
        <v>3196142</v>
      </c>
      <c r="J259" s="15">
        <f>ROUND(SUMPRODUCT(SUMIF(Final!$G$4:$G$330,CashReserveLevy!D259:F259,Final!$E$4:$E$330)),0)</f>
        <v>3883532</v>
      </c>
      <c r="K259" s="15">
        <f t="shared" si="23"/>
        <v>0</v>
      </c>
      <c r="L259" s="37">
        <f>INDEX(ActualCRLevy_SAS!$A$2:$D$326,MATCH(CashReserveLevy!$C259,ActualCRLevy_SAS!$B$2:$B$326,0),4)</f>
        <v>0</v>
      </c>
      <c r="M259" s="38" t="str">
        <f t="shared" si="24"/>
        <v/>
      </c>
      <c r="N259" s="17" t="str">
        <f t="shared" si="25"/>
        <v/>
      </c>
      <c r="O259" s="17" t="str">
        <f t="shared" si="28"/>
        <v/>
      </c>
      <c r="Q259" s="36">
        <f t="shared" si="26"/>
        <v>0</v>
      </c>
      <c r="U259" s="37">
        <v>0</v>
      </c>
      <c r="V259" s="36">
        <f t="shared" si="27"/>
        <v>0</v>
      </c>
    </row>
    <row r="260" spans="1:22" x14ac:dyDescent="0.2">
      <c r="A260" s="14">
        <v>2024</v>
      </c>
      <c r="B260" s="14" t="s">
        <v>14</v>
      </c>
      <c r="C260" s="14" t="s">
        <v>532</v>
      </c>
      <c r="D260" s="14" t="s">
        <v>688</v>
      </c>
      <c r="E260" s="14" t="s">
        <v>688</v>
      </c>
      <c r="F260" s="14" t="s">
        <v>532</v>
      </c>
      <c r="G260" s="14" t="s">
        <v>533</v>
      </c>
      <c r="H260" s="15">
        <f>ROUND(SUMPRODUCT(SUMIF(Final!$G$4:$G$330,CashReserveLevy!D260:F260,Final!$C$4:$C$330)),0)</f>
        <v>13369445</v>
      </c>
      <c r="I260" s="15">
        <f t="shared" ref="I260:I323" si="29">ROUND(H260*0.2,0)</f>
        <v>2673889</v>
      </c>
      <c r="J260" s="15">
        <f>ROUND(SUMPRODUCT(SUMIF(Final!$G$4:$G$330,CashReserveLevy!D260:F260,Final!$E$4:$E$330)),0)</f>
        <v>9533188</v>
      </c>
      <c r="K260" s="15">
        <f t="shared" ref="K260:K323" si="30">IF(I260&gt;J260,I260-J260,0)</f>
        <v>0</v>
      </c>
      <c r="L260" s="37">
        <f>INDEX(ActualCRLevy_SAS!$A$2:$D$326,MATCH(CashReserveLevy!$C260,ActualCRLevy_SAS!$B$2:$B$326,0),4)</f>
        <v>0</v>
      </c>
      <c r="M260" s="38" t="str">
        <f t="shared" ref="M260:M323" si="31">IF(AND(L260=K260,K260&gt;0),"Max","")</f>
        <v/>
      </c>
      <c r="N260" s="17" t="str">
        <f t="shared" ref="N260:N323" si="32">IF(AND(L260&lt;K260,L260=0),"No Levy but have Capacity","")</f>
        <v/>
      </c>
      <c r="O260" s="17" t="str">
        <f t="shared" si="28"/>
        <v/>
      </c>
      <c r="Q260" s="36">
        <f t="shared" ref="Q260:Q323" si="33">K260-L260</f>
        <v>0</v>
      </c>
      <c r="U260" s="37">
        <v>0</v>
      </c>
      <c r="V260" s="36">
        <f t="shared" ref="V260:V323" si="34">K260-U260</f>
        <v>0</v>
      </c>
    </row>
    <row r="261" spans="1:22" x14ac:dyDescent="0.2">
      <c r="A261" s="14">
        <v>2024</v>
      </c>
      <c r="B261" s="14" t="s">
        <v>14</v>
      </c>
      <c r="C261" s="14" t="s">
        <v>534</v>
      </c>
      <c r="D261" s="14" t="s">
        <v>688</v>
      </c>
      <c r="E261" s="14" t="s">
        <v>688</v>
      </c>
      <c r="F261" s="14" t="s">
        <v>534</v>
      </c>
      <c r="G261" s="14" t="s">
        <v>535</v>
      </c>
      <c r="H261" s="15">
        <f>ROUND(SUMPRODUCT(SUMIF(Final!$G$4:$G$330,CashReserveLevy!D261:F261,Final!$C$4:$C$330)),0)</f>
        <v>8620932</v>
      </c>
      <c r="I261" s="15">
        <f t="shared" si="29"/>
        <v>1724186</v>
      </c>
      <c r="J261" s="15">
        <f>ROUND(SUMPRODUCT(SUMIF(Final!$G$4:$G$330,CashReserveLevy!D261:F261,Final!$E$4:$E$330)),0)</f>
        <v>2499075</v>
      </c>
      <c r="K261" s="15">
        <f t="shared" si="30"/>
        <v>0</v>
      </c>
      <c r="L261" s="37">
        <f>INDEX(ActualCRLevy_SAS!$A$2:$D$326,MATCH(CashReserveLevy!$C261,ActualCRLevy_SAS!$B$2:$B$326,0),4)</f>
        <v>0</v>
      </c>
      <c r="M261" s="38" t="str">
        <f t="shared" si="31"/>
        <v/>
      </c>
      <c r="N261" s="17" t="str">
        <f t="shared" si="32"/>
        <v/>
      </c>
      <c r="O261" s="17" t="str">
        <f t="shared" si="28"/>
        <v/>
      </c>
      <c r="Q261" s="36">
        <f t="shared" si="33"/>
        <v>0</v>
      </c>
      <c r="U261" s="37">
        <v>0</v>
      </c>
      <c r="V261" s="36">
        <f t="shared" si="34"/>
        <v>0</v>
      </c>
    </row>
    <row r="262" spans="1:22" x14ac:dyDescent="0.2">
      <c r="A262" s="14">
        <v>2024</v>
      </c>
      <c r="B262" s="14" t="s">
        <v>11</v>
      </c>
      <c r="C262" s="14" t="s">
        <v>536</v>
      </c>
      <c r="D262" s="14" t="s">
        <v>688</v>
      </c>
      <c r="E262" s="14" t="s">
        <v>688</v>
      </c>
      <c r="F262" s="14" t="s">
        <v>537</v>
      </c>
      <c r="G262" s="14" t="s">
        <v>538</v>
      </c>
      <c r="H262" s="15">
        <f>ROUND(SUMPRODUCT(SUMIF(Final!$G$4:$G$330,CashReserveLevy!D262:F262,Final!$C$4:$C$330)),0)</f>
        <v>8127238</v>
      </c>
      <c r="I262" s="15">
        <f t="shared" si="29"/>
        <v>1625448</v>
      </c>
      <c r="J262" s="15">
        <f>ROUND(SUMPRODUCT(SUMIF(Final!$G$4:$G$330,CashReserveLevy!D262:F262,Final!$E$4:$E$330)),0)</f>
        <v>1052853</v>
      </c>
      <c r="K262" s="15">
        <f t="shared" si="30"/>
        <v>572595</v>
      </c>
      <c r="L262" s="37">
        <f>INDEX(ActualCRLevy_SAS!$A$2:$D$326,MATCH(CashReserveLevy!$C262,ActualCRLevy_SAS!$B$2:$B$326,0),4)</f>
        <v>100000</v>
      </c>
      <c r="M262" s="38" t="str">
        <f t="shared" si="31"/>
        <v/>
      </c>
      <c r="N262" s="17" t="str">
        <f t="shared" si="32"/>
        <v/>
      </c>
      <c r="O262" s="17" t="str">
        <f t="shared" si="28"/>
        <v/>
      </c>
      <c r="Q262" s="36">
        <f t="shared" si="33"/>
        <v>472595</v>
      </c>
      <c r="U262" s="37">
        <v>572595</v>
      </c>
      <c r="V262" s="36">
        <f t="shared" si="34"/>
        <v>0</v>
      </c>
    </row>
    <row r="263" spans="1:22" x14ac:dyDescent="0.2">
      <c r="A263" s="14">
        <v>2024</v>
      </c>
      <c r="B263" s="14" t="s">
        <v>8</v>
      </c>
      <c r="C263" s="14" t="s">
        <v>539</v>
      </c>
      <c r="D263" s="14" t="s">
        <v>688</v>
      </c>
      <c r="E263" s="14" t="s">
        <v>688</v>
      </c>
      <c r="F263" s="14" t="s">
        <v>539</v>
      </c>
      <c r="G263" s="14" t="s">
        <v>540</v>
      </c>
      <c r="H263" s="15">
        <f>ROUND(SUMPRODUCT(SUMIF(Final!$G$4:$G$330,CashReserveLevy!D263:F263,Final!$C$4:$C$330)),0)</f>
        <v>3106245</v>
      </c>
      <c r="I263" s="15">
        <f t="shared" si="29"/>
        <v>621249</v>
      </c>
      <c r="J263" s="15">
        <f>ROUND(SUMPRODUCT(SUMIF(Final!$G$4:$G$330,CashReserveLevy!D263:F263,Final!$E$4:$E$330)),0)</f>
        <v>785225</v>
      </c>
      <c r="K263" s="15">
        <f t="shared" si="30"/>
        <v>0</v>
      </c>
      <c r="L263" s="37">
        <f>INDEX(ActualCRLevy_SAS!$A$2:$D$326,MATCH(CashReserveLevy!$C263,ActualCRLevy_SAS!$B$2:$B$326,0),4)</f>
        <v>0</v>
      </c>
      <c r="M263" s="38" t="str">
        <f t="shared" si="31"/>
        <v/>
      </c>
      <c r="N263" s="17" t="str">
        <f t="shared" si="32"/>
        <v/>
      </c>
      <c r="O263" s="17" t="str">
        <f t="shared" si="28"/>
        <v/>
      </c>
      <c r="Q263" s="36">
        <f t="shared" si="33"/>
        <v>0</v>
      </c>
      <c r="U263" s="37">
        <v>0</v>
      </c>
      <c r="V263" s="36">
        <f t="shared" si="34"/>
        <v>0</v>
      </c>
    </row>
    <row r="264" spans="1:22" x14ac:dyDescent="0.2">
      <c r="A264" s="14">
        <v>2024</v>
      </c>
      <c r="B264" s="14" t="s">
        <v>5</v>
      </c>
      <c r="C264" s="14" t="s">
        <v>541</v>
      </c>
      <c r="D264" s="14" t="s">
        <v>688</v>
      </c>
      <c r="E264" s="14" t="s">
        <v>688</v>
      </c>
      <c r="F264" s="14" t="s">
        <v>541</v>
      </c>
      <c r="G264" s="14" t="s">
        <v>542</v>
      </c>
      <c r="H264" s="15">
        <f>ROUND(SUMPRODUCT(SUMIF(Final!$G$4:$G$330,CashReserveLevy!D264:F264,Final!$C$4:$C$330)),0)</f>
        <v>20019809</v>
      </c>
      <c r="I264" s="15">
        <f t="shared" si="29"/>
        <v>4003962</v>
      </c>
      <c r="J264" s="15">
        <f>ROUND(SUMPRODUCT(SUMIF(Final!$G$4:$G$330,CashReserveLevy!D264:F264,Final!$E$4:$E$330)),0)</f>
        <v>4766440</v>
      </c>
      <c r="K264" s="15">
        <f t="shared" si="30"/>
        <v>0</v>
      </c>
      <c r="L264" s="37">
        <f>INDEX(ActualCRLevy_SAS!$A$2:$D$326,MATCH(CashReserveLevy!$C264,ActualCRLevy_SAS!$B$2:$B$326,0),4)</f>
        <v>0</v>
      </c>
      <c r="M264" s="38" t="str">
        <f t="shared" si="31"/>
        <v/>
      </c>
      <c r="N264" s="17" t="str">
        <f t="shared" si="32"/>
        <v/>
      </c>
      <c r="O264" s="17" t="str">
        <f t="shared" si="28"/>
        <v/>
      </c>
      <c r="Q264" s="36">
        <f t="shared" si="33"/>
        <v>0</v>
      </c>
      <c r="U264" s="37">
        <v>0</v>
      </c>
      <c r="V264" s="36">
        <f t="shared" si="34"/>
        <v>0</v>
      </c>
    </row>
    <row r="265" spans="1:22" x14ac:dyDescent="0.2">
      <c r="A265" s="14">
        <v>2024</v>
      </c>
      <c r="B265" s="14" t="s">
        <v>28</v>
      </c>
      <c r="C265" s="14" t="s">
        <v>543</v>
      </c>
      <c r="D265" s="14" t="s">
        <v>688</v>
      </c>
      <c r="E265" s="14" t="s">
        <v>688</v>
      </c>
      <c r="F265" s="14" t="s">
        <v>543</v>
      </c>
      <c r="G265" s="14" t="s">
        <v>544</v>
      </c>
      <c r="H265" s="15">
        <f>ROUND(SUMPRODUCT(SUMIF(Final!$G$4:$G$330,CashReserveLevy!D265:F265,Final!$C$4:$C$330)),0)</f>
        <v>7560495</v>
      </c>
      <c r="I265" s="15">
        <f t="shared" si="29"/>
        <v>1512099</v>
      </c>
      <c r="J265" s="15">
        <f>ROUND(SUMPRODUCT(SUMIF(Final!$G$4:$G$330,CashReserveLevy!D265:F265,Final!$E$4:$E$330)),0)</f>
        <v>1231614</v>
      </c>
      <c r="K265" s="15">
        <f t="shared" si="30"/>
        <v>280485</v>
      </c>
      <c r="L265" s="37">
        <f>INDEX(ActualCRLevy_SAS!$A$2:$D$326,MATCH(CashReserveLevy!$C265,ActualCRLevy_SAS!$B$2:$B$326,0),4)</f>
        <v>280485</v>
      </c>
      <c r="M265" s="38" t="str">
        <f t="shared" si="31"/>
        <v>Max</v>
      </c>
      <c r="N265" s="17" t="str">
        <f t="shared" si="32"/>
        <v/>
      </c>
      <c r="O265" s="17" t="str">
        <f t="shared" si="28"/>
        <v/>
      </c>
      <c r="Q265" s="36">
        <f t="shared" si="33"/>
        <v>0</v>
      </c>
      <c r="U265" s="37">
        <v>280485</v>
      </c>
      <c r="V265" s="36">
        <f t="shared" si="34"/>
        <v>0</v>
      </c>
    </row>
    <row r="266" spans="1:22" x14ac:dyDescent="0.2">
      <c r="A266" s="14">
        <v>2024</v>
      </c>
      <c r="B266" s="14" t="s">
        <v>0</v>
      </c>
      <c r="C266" s="14" t="s">
        <v>545</v>
      </c>
      <c r="D266" s="14" t="s">
        <v>688</v>
      </c>
      <c r="E266" s="14" t="s">
        <v>688</v>
      </c>
      <c r="F266" s="14" t="s">
        <v>545</v>
      </c>
      <c r="G266" s="14" t="s">
        <v>546</v>
      </c>
      <c r="H266" s="15">
        <f>ROUND(SUMPRODUCT(SUMIF(Final!$G$4:$G$330,CashReserveLevy!D266:F266,Final!$C$4:$C$330)),0)</f>
        <v>87377469</v>
      </c>
      <c r="I266" s="15">
        <f t="shared" si="29"/>
        <v>17475494</v>
      </c>
      <c r="J266" s="15">
        <f>ROUND(SUMPRODUCT(SUMIF(Final!$G$4:$G$330,CashReserveLevy!D266:F266,Final!$E$4:$E$330)),0)</f>
        <v>14949543</v>
      </c>
      <c r="K266" s="15">
        <f t="shared" si="30"/>
        <v>2525951</v>
      </c>
      <c r="L266" s="37">
        <f>INDEX(ActualCRLevy_SAS!$A$2:$D$326,MATCH(CashReserveLevy!$C266,ActualCRLevy_SAS!$B$2:$B$326,0),4)</f>
        <v>2525951</v>
      </c>
      <c r="M266" s="38" t="str">
        <f t="shared" si="31"/>
        <v>Max</v>
      </c>
      <c r="N266" s="17" t="str">
        <f t="shared" si="32"/>
        <v/>
      </c>
      <c r="O266" s="17" t="str">
        <f t="shared" si="28"/>
        <v/>
      </c>
      <c r="Q266" s="36">
        <f t="shared" si="33"/>
        <v>0</v>
      </c>
      <c r="U266" s="37">
        <v>2525951</v>
      </c>
      <c r="V266" s="36">
        <f t="shared" si="34"/>
        <v>0</v>
      </c>
    </row>
    <row r="267" spans="1:22" x14ac:dyDescent="0.2">
      <c r="A267" s="14">
        <v>2024</v>
      </c>
      <c r="B267" s="14" t="s">
        <v>0</v>
      </c>
      <c r="C267" s="14" t="s">
        <v>547</v>
      </c>
      <c r="D267" s="14" t="s">
        <v>688</v>
      </c>
      <c r="E267" s="14" t="s">
        <v>688</v>
      </c>
      <c r="F267" s="14" t="s">
        <v>547</v>
      </c>
      <c r="G267" s="14" t="s">
        <v>548</v>
      </c>
      <c r="H267" s="15">
        <f>ROUND(SUMPRODUCT(SUMIF(Final!$G$4:$G$330,CashReserveLevy!D267:F267,Final!$C$4:$C$330)),0)</f>
        <v>7352560</v>
      </c>
      <c r="I267" s="15">
        <f t="shared" si="29"/>
        <v>1470512</v>
      </c>
      <c r="J267" s="15">
        <f>ROUND(SUMPRODUCT(SUMIF(Final!$G$4:$G$330,CashReserveLevy!D267:F267,Final!$E$4:$E$330)),0)</f>
        <v>1281760</v>
      </c>
      <c r="K267" s="15">
        <f t="shared" si="30"/>
        <v>188752</v>
      </c>
      <c r="L267" s="37">
        <f>INDEX(ActualCRLevy_SAS!$A$2:$D$326,MATCH(CashReserveLevy!$C267,ActualCRLevy_SAS!$B$2:$B$326,0),4)</f>
        <v>188752</v>
      </c>
      <c r="M267" s="38" t="str">
        <f t="shared" si="31"/>
        <v>Max</v>
      </c>
      <c r="N267" s="17" t="str">
        <f t="shared" si="32"/>
        <v/>
      </c>
      <c r="O267" s="17" t="str">
        <f t="shared" si="28"/>
        <v/>
      </c>
      <c r="Q267" s="36">
        <f t="shared" si="33"/>
        <v>0</v>
      </c>
      <c r="U267" s="37">
        <v>188752</v>
      </c>
      <c r="V267" s="36">
        <f t="shared" si="34"/>
        <v>0</v>
      </c>
    </row>
    <row r="268" spans="1:22" x14ac:dyDescent="0.2">
      <c r="A268" s="14">
        <v>2024</v>
      </c>
      <c r="B268" s="14" t="s">
        <v>14</v>
      </c>
      <c r="C268" s="14" t="s">
        <v>549</v>
      </c>
      <c r="D268" s="14" t="s">
        <v>483</v>
      </c>
      <c r="E268" s="14" t="s">
        <v>688</v>
      </c>
      <c r="F268" s="14" t="s">
        <v>549</v>
      </c>
      <c r="G268" s="14" t="s">
        <v>1021</v>
      </c>
      <c r="H268" s="15">
        <f>ROUND(SUMPRODUCT(SUMIF(Final!$G$4:$G$330,CashReserveLevy!D268:F268,Final!$C$4:$C$330)),0)</f>
        <v>16781302</v>
      </c>
      <c r="I268" s="15">
        <f t="shared" si="29"/>
        <v>3356260</v>
      </c>
      <c r="J268" s="15">
        <f>ROUND(SUMPRODUCT(SUMIF(Final!$G$4:$G$330,CashReserveLevy!D268:F268,Final!$E$4:$E$330)),0)</f>
        <v>9539358</v>
      </c>
      <c r="K268" s="15">
        <f t="shared" si="30"/>
        <v>0</v>
      </c>
      <c r="L268" s="37">
        <f>INDEX(ActualCRLevy_SAS!$A$2:$D$326,MATCH(CashReserveLevy!$C268,ActualCRLevy_SAS!$B$2:$B$326,0),4)</f>
        <v>0</v>
      </c>
      <c r="M268" s="38" t="str">
        <f t="shared" si="31"/>
        <v/>
      </c>
      <c r="N268" s="17" t="str">
        <f t="shared" si="32"/>
        <v/>
      </c>
      <c r="O268" s="17" t="str">
        <f t="shared" si="28"/>
        <v/>
      </c>
      <c r="Q268" s="36">
        <f t="shared" si="33"/>
        <v>0</v>
      </c>
      <c r="U268" s="37">
        <v>0</v>
      </c>
      <c r="V268" s="36">
        <f t="shared" si="34"/>
        <v>0</v>
      </c>
    </row>
    <row r="269" spans="1:22" x14ac:dyDescent="0.2">
      <c r="A269" s="14">
        <v>2024</v>
      </c>
      <c r="B269" s="14" t="s">
        <v>14</v>
      </c>
      <c r="C269" s="14" t="s">
        <v>550</v>
      </c>
      <c r="D269" s="14" t="s">
        <v>688</v>
      </c>
      <c r="E269" s="14" t="s">
        <v>688</v>
      </c>
      <c r="F269" s="14" t="s">
        <v>550</v>
      </c>
      <c r="G269" s="14" t="s">
        <v>551</v>
      </c>
      <c r="H269" s="15">
        <f>ROUND(SUMPRODUCT(SUMIF(Final!$G$4:$G$330,CashReserveLevy!D269:F269,Final!$C$4:$C$330)),0)</f>
        <v>27593789</v>
      </c>
      <c r="I269" s="15">
        <f t="shared" si="29"/>
        <v>5518758</v>
      </c>
      <c r="J269" s="15">
        <f>ROUND(SUMPRODUCT(SUMIF(Final!$G$4:$G$330,CashReserveLevy!D269:F269,Final!$E$4:$E$330)),0)</f>
        <v>5579790</v>
      </c>
      <c r="K269" s="15">
        <f t="shared" si="30"/>
        <v>0</v>
      </c>
      <c r="L269" s="37">
        <f>INDEX(ActualCRLevy_SAS!$A$2:$D$326,MATCH(CashReserveLevy!$C269,ActualCRLevy_SAS!$B$2:$B$326,0),4)</f>
        <v>0</v>
      </c>
      <c r="M269" s="38" t="str">
        <f t="shared" si="31"/>
        <v/>
      </c>
      <c r="N269" s="17" t="str">
        <f t="shared" si="32"/>
        <v/>
      </c>
      <c r="O269" s="17" t="str">
        <f t="shared" ref="O269:O327" si="35">IF(L269&gt;K269,"Exceedes Maximum Limit","")</f>
        <v/>
      </c>
      <c r="Q269" s="36">
        <f t="shared" si="33"/>
        <v>0</v>
      </c>
      <c r="U269" s="37">
        <v>0</v>
      </c>
      <c r="V269" s="36">
        <f t="shared" si="34"/>
        <v>0</v>
      </c>
    </row>
    <row r="270" spans="1:22" x14ac:dyDescent="0.2">
      <c r="A270" s="14">
        <v>2024</v>
      </c>
      <c r="B270" s="14" t="s">
        <v>14</v>
      </c>
      <c r="C270" s="14" t="s">
        <v>552</v>
      </c>
      <c r="D270" s="14" t="s">
        <v>688</v>
      </c>
      <c r="E270" s="14" t="s">
        <v>688</v>
      </c>
      <c r="F270" s="14" t="s">
        <v>552</v>
      </c>
      <c r="G270" s="14" t="s">
        <v>553</v>
      </c>
      <c r="H270" s="15">
        <f>ROUND(SUMPRODUCT(SUMIF(Final!$G$4:$G$330,CashReserveLevy!D270:F270,Final!$C$4:$C$330)),0)</f>
        <v>14922720</v>
      </c>
      <c r="I270" s="15">
        <f t="shared" si="29"/>
        <v>2984544</v>
      </c>
      <c r="J270" s="15">
        <f>ROUND(SUMPRODUCT(SUMIF(Final!$G$4:$G$330,CashReserveLevy!D270:F270,Final!$E$4:$E$330)),0)</f>
        <v>3760568</v>
      </c>
      <c r="K270" s="15">
        <f t="shared" si="30"/>
        <v>0</v>
      </c>
      <c r="L270" s="37">
        <f>INDEX(ActualCRLevy_SAS!$A$2:$D$326,MATCH(CashReserveLevy!$C270,ActualCRLevy_SAS!$B$2:$B$326,0),4)</f>
        <v>0</v>
      </c>
      <c r="M270" s="38" t="str">
        <f t="shared" si="31"/>
        <v/>
      </c>
      <c r="N270" s="17" t="str">
        <f t="shared" si="32"/>
        <v/>
      </c>
      <c r="O270" s="17" t="str">
        <f t="shared" si="35"/>
        <v/>
      </c>
      <c r="Q270" s="36">
        <f t="shared" si="33"/>
        <v>0</v>
      </c>
      <c r="U270" s="37">
        <v>0</v>
      </c>
      <c r="V270" s="36">
        <f t="shared" si="34"/>
        <v>0</v>
      </c>
    </row>
    <row r="271" spans="1:22" x14ac:dyDescent="0.2">
      <c r="A271" s="14">
        <v>2024</v>
      </c>
      <c r="B271" s="14" t="s">
        <v>20</v>
      </c>
      <c r="C271" s="14" t="s">
        <v>554</v>
      </c>
      <c r="D271" s="14" t="s">
        <v>688</v>
      </c>
      <c r="E271" s="14" t="s">
        <v>688</v>
      </c>
      <c r="F271" s="14" t="s">
        <v>554</v>
      </c>
      <c r="G271" s="14" t="s">
        <v>555</v>
      </c>
      <c r="H271" s="15">
        <f>ROUND(SUMPRODUCT(SUMIF(Final!$G$4:$G$330,CashReserveLevy!D271:F271,Final!$C$4:$C$330)),0)</f>
        <v>5769100</v>
      </c>
      <c r="I271" s="15">
        <f t="shared" si="29"/>
        <v>1153820</v>
      </c>
      <c r="J271" s="15">
        <f>ROUND(SUMPRODUCT(SUMIF(Final!$G$4:$G$330,CashReserveLevy!D271:F271,Final!$E$4:$E$330)),0)</f>
        <v>1420523</v>
      </c>
      <c r="K271" s="15">
        <f t="shared" si="30"/>
        <v>0</v>
      </c>
      <c r="L271" s="37">
        <f>INDEX(ActualCRLevy_SAS!$A$2:$D$326,MATCH(CashReserveLevy!$C271,ActualCRLevy_SAS!$B$2:$B$326,0),4)</f>
        <v>0</v>
      </c>
      <c r="M271" s="38" t="str">
        <f t="shared" si="31"/>
        <v/>
      </c>
      <c r="N271" s="17" t="str">
        <f t="shared" si="32"/>
        <v/>
      </c>
      <c r="O271" s="17" t="str">
        <f t="shared" si="35"/>
        <v/>
      </c>
      <c r="Q271" s="36">
        <f t="shared" si="33"/>
        <v>0</v>
      </c>
      <c r="U271" s="37">
        <v>0</v>
      </c>
      <c r="V271" s="36">
        <f t="shared" si="34"/>
        <v>0</v>
      </c>
    </row>
    <row r="272" spans="1:22" x14ac:dyDescent="0.2">
      <c r="A272" s="14">
        <v>2024</v>
      </c>
      <c r="B272" s="14" t="s">
        <v>5</v>
      </c>
      <c r="C272" s="14" t="s">
        <v>556</v>
      </c>
      <c r="D272" s="14" t="s">
        <v>688</v>
      </c>
      <c r="E272" s="14" t="s">
        <v>688</v>
      </c>
      <c r="F272" s="14" t="s">
        <v>556</v>
      </c>
      <c r="G272" s="14" t="s">
        <v>557</v>
      </c>
      <c r="H272" s="15">
        <f>ROUND(SUMPRODUCT(SUMIF(Final!$G$4:$G$330,CashReserveLevy!D272:F272,Final!$C$4:$C$330)),0)</f>
        <v>7754593</v>
      </c>
      <c r="I272" s="15">
        <f t="shared" si="29"/>
        <v>1550919</v>
      </c>
      <c r="J272" s="15">
        <f>ROUND(SUMPRODUCT(SUMIF(Final!$G$4:$G$330,CashReserveLevy!D272:F272,Final!$E$4:$E$330)),0)</f>
        <v>1091300</v>
      </c>
      <c r="K272" s="15">
        <f t="shared" si="30"/>
        <v>459619</v>
      </c>
      <c r="L272" s="37">
        <f>INDEX(ActualCRLevy_SAS!$A$2:$D$326,MATCH(CashReserveLevy!$C272,ActualCRLevy_SAS!$B$2:$B$326,0),4)</f>
        <v>0</v>
      </c>
      <c r="M272" s="38" t="str">
        <f t="shared" si="31"/>
        <v/>
      </c>
      <c r="N272" s="17" t="str">
        <f t="shared" si="32"/>
        <v>No Levy but have Capacity</v>
      </c>
      <c r="O272" s="17" t="str">
        <f t="shared" si="35"/>
        <v/>
      </c>
      <c r="Q272" s="36">
        <f t="shared" si="33"/>
        <v>459619</v>
      </c>
      <c r="U272" s="37">
        <v>459619</v>
      </c>
      <c r="V272" s="36">
        <f t="shared" si="34"/>
        <v>0</v>
      </c>
    </row>
    <row r="273" spans="1:22" x14ac:dyDescent="0.2">
      <c r="A273" s="14">
        <v>2024</v>
      </c>
      <c r="B273" s="14" t="s">
        <v>8</v>
      </c>
      <c r="C273" s="14" t="s">
        <v>558</v>
      </c>
      <c r="D273" s="14" t="s">
        <v>688</v>
      </c>
      <c r="E273" s="14" t="s">
        <v>688</v>
      </c>
      <c r="F273" s="14" t="s">
        <v>558</v>
      </c>
      <c r="G273" s="14" t="s">
        <v>559</v>
      </c>
      <c r="H273" s="15">
        <f>ROUND(SUMPRODUCT(SUMIF(Final!$G$4:$G$330,CashReserveLevy!D273:F273,Final!$C$4:$C$330)),0)</f>
        <v>3498449</v>
      </c>
      <c r="I273" s="15">
        <f t="shared" si="29"/>
        <v>699690</v>
      </c>
      <c r="J273" s="15">
        <f>ROUND(SUMPRODUCT(SUMIF(Final!$G$4:$G$330,CashReserveLevy!D273:F273,Final!$E$4:$E$330)),0)</f>
        <v>1258078</v>
      </c>
      <c r="K273" s="15">
        <f t="shared" si="30"/>
        <v>0</v>
      </c>
      <c r="L273" s="37">
        <f>INDEX(ActualCRLevy_SAS!$A$2:$D$326,MATCH(CashReserveLevy!$C273,ActualCRLevy_SAS!$B$2:$B$326,0),4)</f>
        <v>0</v>
      </c>
      <c r="M273" s="38" t="str">
        <f t="shared" si="31"/>
        <v/>
      </c>
      <c r="N273" s="17" t="str">
        <f t="shared" si="32"/>
        <v/>
      </c>
      <c r="O273" s="17" t="str">
        <f t="shared" si="35"/>
        <v/>
      </c>
      <c r="Q273" s="36">
        <f t="shared" si="33"/>
        <v>0</v>
      </c>
      <c r="U273" s="37">
        <v>0</v>
      </c>
      <c r="V273" s="36">
        <f t="shared" si="34"/>
        <v>0</v>
      </c>
    </row>
    <row r="274" spans="1:22" x14ac:dyDescent="0.2">
      <c r="A274" s="14">
        <v>2024</v>
      </c>
      <c r="B274" s="14" t="s">
        <v>28</v>
      </c>
      <c r="C274" s="14" t="s">
        <v>560</v>
      </c>
      <c r="D274" s="14" t="s">
        <v>688</v>
      </c>
      <c r="E274" s="14" t="s">
        <v>688</v>
      </c>
      <c r="F274" s="14" t="s">
        <v>560</v>
      </c>
      <c r="G274" s="14" t="s">
        <v>561</v>
      </c>
      <c r="H274" s="15">
        <f>ROUND(SUMPRODUCT(SUMIF(Final!$G$4:$G$330,CashReserveLevy!D274:F274,Final!$C$4:$C$330)),0)</f>
        <v>8673680</v>
      </c>
      <c r="I274" s="15">
        <f t="shared" si="29"/>
        <v>1734736</v>
      </c>
      <c r="J274" s="15">
        <f>ROUND(SUMPRODUCT(SUMIF(Final!$G$4:$G$330,CashReserveLevy!D274:F274,Final!$E$4:$E$330)),0)</f>
        <v>3336393</v>
      </c>
      <c r="K274" s="15">
        <f t="shared" si="30"/>
        <v>0</v>
      </c>
      <c r="L274" s="37">
        <f>INDEX(ActualCRLevy_SAS!$A$2:$D$326,MATCH(CashReserveLevy!$C274,ActualCRLevy_SAS!$B$2:$B$326,0),4)</f>
        <v>0</v>
      </c>
      <c r="M274" s="38" t="str">
        <f t="shared" si="31"/>
        <v/>
      </c>
      <c r="N274" s="17" t="str">
        <f t="shared" si="32"/>
        <v/>
      </c>
      <c r="O274" s="17" t="str">
        <f t="shared" si="35"/>
        <v/>
      </c>
      <c r="Q274" s="36">
        <f t="shared" si="33"/>
        <v>0</v>
      </c>
      <c r="U274" s="37">
        <v>0</v>
      </c>
      <c r="V274" s="36">
        <f t="shared" si="34"/>
        <v>0</v>
      </c>
    </row>
    <row r="275" spans="1:22" x14ac:dyDescent="0.2">
      <c r="A275" s="14">
        <v>2024</v>
      </c>
      <c r="B275" s="14" t="s">
        <v>14</v>
      </c>
      <c r="C275" s="14" t="s">
        <v>562</v>
      </c>
      <c r="D275" s="14" t="s">
        <v>688</v>
      </c>
      <c r="E275" s="14" t="s">
        <v>688</v>
      </c>
      <c r="F275" s="14" t="s">
        <v>562</v>
      </c>
      <c r="G275" s="14" t="s">
        <v>563</v>
      </c>
      <c r="H275" s="15">
        <f>ROUND(SUMPRODUCT(SUMIF(Final!$G$4:$G$330,CashReserveLevy!D275:F275,Final!$C$4:$C$330)),0)</f>
        <v>35522895</v>
      </c>
      <c r="I275" s="15">
        <f t="shared" si="29"/>
        <v>7104579</v>
      </c>
      <c r="J275" s="15">
        <f>ROUND(SUMPRODUCT(SUMIF(Final!$G$4:$G$330,CashReserveLevy!D275:F275,Final!$E$4:$E$330)),0)</f>
        <v>5719810</v>
      </c>
      <c r="K275" s="15">
        <f t="shared" si="30"/>
        <v>1384769</v>
      </c>
      <c r="L275" s="37">
        <f>INDEX(ActualCRLevy_SAS!$A$2:$D$326,MATCH(CashReserveLevy!$C275,ActualCRLevy_SAS!$B$2:$B$326,0),4)</f>
        <v>439775</v>
      </c>
      <c r="M275" s="38" t="str">
        <f t="shared" si="31"/>
        <v/>
      </c>
      <c r="N275" s="17" t="str">
        <f t="shared" si="32"/>
        <v/>
      </c>
      <c r="O275" s="17" t="str">
        <f t="shared" si="35"/>
        <v/>
      </c>
      <c r="Q275" s="36">
        <f t="shared" si="33"/>
        <v>944994</v>
      </c>
      <c r="U275" s="37">
        <v>1384769</v>
      </c>
      <c r="V275" s="36">
        <f t="shared" si="34"/>
        <v>0</v>
      </c>
    </row>
    <row r="276" spans="1:22" x14ac:dyDescent="0.2">
      <c r="A276" s="14">
        <v>2024</v>
      </c>
      <c r="B276" s="14" t="s">
        <v>14</v>
      </c>
      <c r="C276" s="14" t="s">
        <v>564</v>
      </c>
      <c r="D276" s="14" t="s">
        <v>688</v>
      </c>
      <c r="E276" s="14" t="s">
        <v>688</v>
      </c>
      <c r="F276" s="14" t="s">
        <v>564</v>
      </c>
      <c r="G276" s="14" t="s">
        <v>565</v>
      </c>
      <c r="H276" s="15">
        <f>ROUND(SUMPRODUCT(SUMIF(Final!$G$4:$G$330,CashReserveLevy!D276:F276,Final!$C$4:$C$330)),0)</f>
        <v>2242175</v>
      </c>
      <c r="I276" s="15">
        <f t="shared" si="29"/>
        <v>448435</v>
      </c>
      <c r="J276" s="15">
        <f>ROUND(SUMPRODUCT(SUMIF(Final!$G$4:$G$330,CashReserveLevy!D276:F276,Final!$E$4:$E$330)),0)</f>
        <v>392868</v>
      </c>
      <c r="K276" s="15">
        <f t="shared" si="30"/>
        <v>55567</v>
      </c>
      <c r="L276" s="37">
        <f>INDEX(ActualCRLevy_SAS!$A$2:$D$326,MATCH(CashReserveLevy!$C276,ActualCRLevy_SAS!$B$2:$B$326,0),4)</f>
        <v>55567</v>
      </c>
      <c r="M276" s="38" t="str">
        <f t="shared" si="31"/>
        <v>Max</v>
      </c>
      <c r="N276" s="17" t="str">
        <f t="shared" si="32"/>
        <v/>
      </c>
      <c r="O276" s="17" t="str">
        <f t="shared" si="35"/>
        <v/>
      </c>
      <c r="Q276" s="36">
        <f t="shared" si="33"/>
        <v>0</v>
      </c>
      <c r="U276" s="37">
        <v>55567</v>
      </c>
      <c r="V276" s="36">
        <f t="shared" si="34"/>
        <v>0</v>
      </c>
    </row>
    <row r="277" spans="1:22" x14ac:dyDescent="0.2">
      <c r="A277" s="14">
        <v>2024</v>
      </c>
      <c r="B277" s="14" t="s">
        <v>5</v>
      </c>
      <c r="C277" s="14" t="s">
        <v>566</v>
      </c>
      <c r="D277" s="14" t="s">
        <v>688</v>
      </c>
      <c r="E277" s="14" t="s">
        <v>688</v>
      </c>
      <c r="F277" s="14" t="s">
        <v>566</v>
      </c>
      <c r="G277" s="14" t="s">
        <v>567</v>
      </c>
      <c r="H277" s="15">
        <f>ROUND(SUMPRODUCT(SUMIF(Final!$G$4:$G$330,CashReserveLevy!D277:F277,Final!$C$4:$C$330)),0)</f>
        <v>10331509</v>
      </c>
      <c r="I277" s="15">
        <f t="shared" si="29"/>
        <v>2066302</v>
      </c>
      <c r="J277" s="15">
        <f>ROUND(SUMPRODUCT(SUMIF(Final!$G$4:$G$330,CashReserveLevy!D277:F277,Final!$E$4:$E$330)),0)</f>
        <v>1196914</v>
      </c>
      <c r="K277" s="15">
        <f t="shared" si="30"/>
        <v>869388</v>
      </c>
      <c r="L277" s="37">
        <f>INDEX(ActualCRLevy_SAS!$A$2:$D$326,MATCH(CashReserveLevy!$C277,ActualCRLevy_SAS!$B$2:$B$326,0),4)</f>
        <v>400000</v>
      </c>
      <c r="M277" s="38" t="str">
        <f t="shared" si="31"/>
        <v/>
      </c>
      <c r="N277" s="17" t="str">
        <f t="shared" si="32"/>
        <v/>
      </c>
      <c r="O277" s="17" t="str">
        <f t="shared" si="35"/>
        <v/>
      </c>
      <c r="Q277" s="36">
        <f t="shared" si="33"/>
        <v>469388</v>
      </c>
      <c r="U277" s="37">
        <v>869388</v>
      </c>
      <c r="V277" s="36">
        <f t="shared" si="34"/>
        <v>0</v>
      </c>
    </row>
    <row r="278" spans="1:22" x14ac:dyDescent="0.2">
      <c r="A278" s="14">
        <v>2024</v>
      </c>
      <c r="B278" s="14" t="s">
        <v>20</v>
      </c>
      <c r="C278" s="14" t="s">
        <v>568</v>
      </c>
      <c r="D278" s="14" t="s">
        <v>688</v>
      </c>
      <c r="E278" s="14" t="s">
        <v>688</v>
      </c>
      <c r="F278" s="14" t="s">
        <v>568</v>
      </c>
      <c r="G278" s="14" t="s">
        <v>569</v>
      </c>
      <c r="H278" s="15">
        <f>ROUND(SUMPRODUCT(SUMIF(Final!$G$4:$G$330,CashReserveLevy!D278:F278,Final!$C$4:$C$330)),0)</f>
        <v>11372773</v>
      </c>
      <c r="I278" s="15">
        <f t="shared" si="29"/>
        <v>2274555</v>
      </c>
      <c r="J278" s="15">
        <f>ROUND(SUMPRODUCT(SUMIF(Final!$G$4:$G$330,CashReserveLevy!D278:F278,Final!$E$4:$E$330)),0)</f>
        <v>1962235</v>
      </c>
      <c r="K278" s="15">
        <f t="shared" si="30"/>
        <v>312320</v>
      </c>
      <c r="L278" s="37">
        <f>INDEX(ActualCRLevy_SAS!$A$2:$D$326,MATCH(CashReserveLevy!$C278,ActualCRLevy_SAS!$B$2:$B$326,0),4)</f>
        <v>312320</v>
      </c>
      <c r="M278" s="38" t="str">
        <f t="shared" si="31"/>
        <v>Max</v>
      </c>
      <c r="N278" s="17" t="str">
        <f t="shared" si="32"/>
        <v/>
      </c>
      <c r="O278" s="17" t="str">
        <f t="shared" si="35"/>
        <v/>
      </c>
      <c r="Q278" s="36">
        <f t="shared" si="33"/>
        <v>0</v>
      </c>
      <c r="U278" s="37">
        <v>312320</v>
      </c>
      <c r="V278" s="36">
        <f t="shared" si="34"/>
        <v>0</v>
      </c>
    </row>
    <row r="279" spans="1:22" x14ac:dyDescent="0.2">
      <c r="A279" s="14">
        <v>2024</v>
      </c>
      <c r="B279" s="14" t="s">
        <v>8</v>
      </c>
      <c r="C279" s="14" t="s">
        <v>570</v>
      </c>
      <c r="D279" s="14" t="s">
        <v>688</v>
      </c>
      <c r="E279" s="14" t="s">
        <v>688</v>
      </c>
      <c r="F279" s="14" t="s">
        <v>570</v>
      </c>
      <c r="G279" s="14" t="s">
        <v>571</v>
      </c>
      <c r="H279" s="15">
        <f>ROUND(SUMPRODUCT(SUMIF(Final!$G$4:$G$330,CashReserveLevy!D279:F279,Final!$C$4:$C$330)),0)</f>
        <v>8846525</v>
      </c>
      <c r="I279" s="15">
        <f t="shared" si="29"/>
        <v>1769305</v>
      </c>
      <c r="J279" s="15">
        <f>ROUND(SUMPRODUCT(SUMIF(Final!$G$4:$G$330,CashReserveLevy!D279:F279,Final!$E$4:$E$330)),0)</f>
        <v>2342566</v>
      </c>
      <c r="K279" s="15">
        <f t="shared" si="30"/>
        <v>0</v>
      </c>
      <c r="L279" s="37">
        <f>INDEX(ActualCRLevy_SAS!$A$2:$D$326,MATCH(CashReserveLevy!$C279,ActualCRLevy_SAS!$B$2:$B$326,0),4)</f>
        <v>0</v>
      </c>
      <c r="M279" s="38" t="str">
        <f t="shared" si="31"/>
        <v/>
      </c>
      <c r="N279" s="17" t="str">
        <f t="shared" si="32"/>
        <v/>
      </c>
      <c r="O279" s="17" t="str">
        <f t="shared" si="35"/>
        <v/>
      </c>
      <c r="Q279" s="36">
        <f t="shared" si="33"/>
        <v>0</v>
      </c>
      <c r="U279" s="37">
        <v>0</v>
      </c>
      <c r="V279" s="36">
        <f t="shared" si="34"/>
        <v>0</v>
      </c>
    </row>
    <row r="280" spans="1:22" x14ac:dyDescent="0.2">
      <c r="A280" s="14">
        <v>2024</v>
      </c>
      <c r="B280" s="14" t="s">
        <v>8</v>
      </c>
      <c r="C280" s="14" t="s">
        <v>572</v>
      </c>
      <c r="D280" s="14" t="s">
        <v>688</v>
      </c>
      <c r="E280" s="14" t="s">
        <v>688</v>
      </c>
      <c r="F280" s="14" t="s">
        <v>572</v>
      </c>
      <c r="G280" s="14" t="s">
        <v>573</v>
      </c>
      <c r="H280" s="15">
        <f>ROUND(SUMPRODUCT(SUMIF(Final!$G$4:$G$330,CashReserveLevy!D280:F280,Final!$C$4:$C$330)),0)</f>
        <v>8449476</v>
      </c>
      <c r="I280" s="15">
        <f t="shared" si="29"/>
        <v>1689895</v>
      </c>
      <c r="J280" s="15">
        <f>ROUND(SUMPRODUCT(SUMIF(Final!$G$4:$G$330,CashReserveLevy!D280:F280,Final!$E$4:$E$330)),0)</f>
        <v>3247417</v>
      </c>
      <c r="K280" s="15">
        <f t="shared" si="30"/>
        <v>0</v>
      </c>
      <c r="L280" s="37">
        <f>INDEX(ActualCRLevy_SAS!$A$2:$D$326,MATCH(CashReserveLevy!$C280,ActualCRLevy_SAS!$B$2:$B$326,0),4)</f>
        <v>0</v>
      </c>
      <c r="M280" s="38" t="str">
        <f t="shared" si="31"/>
        <v/>
      </c>
      <c r="N280" s="17" t="str">
        <f t="shared" si="32"/>
        <v/>
      </c>
      <c r="O280" s="17" t="str">
        <f t="shared" si="35"/>
        <v/>
      </c>
      <c r="Q280" s="36">
        <f t="shared" si="33"/>
        <v>0</v>
      </c>
      <c r="U280" s="37">
        <v>0</v>
      </c>
      <c r="V280" s="36">
        <f t="shared" si="34"/>
        <v>0</v>
      </c>
    </row>
    <row r="281" spans="1:22" x14ac:dyDescent="0.2">
      <c r="A281" s="14">
        <v>2024</v>
      </c>
      <c r="B281" s="14" t="s">
        <v>17</v>
      </c>
      <c r="C281" s="14" t="s">
        <v>574</v>
      </c>
      <c r="D281" s="14" t="s">
        <v>688</v>
      </c>
      <c r="E281" s="14" t="s">
        <v>688</v>
      </c>
      <c r="F281" s="14" t="s">
        <v>574</v>
      </c>
      <c r="G281" s="14" t="s">
        <v>575</v>
      </c>
      <c r="H281" s="15">
        <f>ROUND(SUMPRODUCT(SUMIF(Final!$G$4:$G$330,CashReserveLevy!D281:F281,Final!$C$4:$C$330)),0)</f>
        <v>3584941</v>
      </c>
      <c r="I281" s="15">
        <f t="shared" si="29"/>
        <v>716988</v>
      </c>
      <c r="J281" s="15">
        <f>ROUND(SUMPRODUCT(SUMIF(Final!$G$4:$G$330,CashReserveLevy!D281:F281,Final!$E$4:$E$330)),0)</f>
        <v>2152946</v>
      </c>
      <c r="K281" s="15">
        <f t="shared" si="30"/>
        <v>0</v>
      </c>
      <c r="L281" s="37">
        <f>INDEX(ActualCRLevy_SAS!$A$2:$D$326,MATCH(CashReserveLevy!$C281,ActualCRLevy_SAS!$B$2:$B$326,0),4)</f>
        <v>0</v>
      </c>
      <c r="M281" s="38" t="str">
        <f t="shared" si="31"/>
        <v/>
      </c>
      <c r="N281" s="17" t="str">
        <f t="shared" si="32"/>
        <v/>
      </c>
      <c r="O281" s="17" t="str">
        <f t="shared" si="35"/>
        <v/>
      </c>
      <c r="Q281" s="36">
        <f t="shared" si="33"/>
        <v>0</v>
      </c>
      <c r="U281" s="37">
        <v>0</v>
      </c>
      <c r="V281" s="36">
        <f t="shared" si="34"/>
        <v>0</v>
      </c>
    </row>
    <row r="282" spans="1:22" x14ac:dyDescent="0.2">
      <c r="A282" s="14">
        <v>2024</v>
      </c>
      <c r="B282" s="14" t="s">
        <v>5</v>
      </c>
      <c r="C282" s="14" t="s">
        <v>576</v>
      </c>
      <c r="D282" s="14" t="s">
        <v>688</v>
      </c>
      <c r="E282" s="14" t="s">
        <v>688</v>
      </c>
      <c r="F282" s="14" t="s">
        <v>576</v>
      </c>
      <c r="G282" s="14" t="s">
        <v>577</v>
      </c>
      <c r="H282" s="15">
        <f>ROUND(SUMPRODUCT(SUMIF(Final!$G$4:$G$330,CashReserveLevy!D282:F282,Final!$C$4:$C$330)),0)</f>
        <v>5790279</v>
      </c>
      <c r="I282" s="15">
        <f t="shared" si="29"/>
        <v>1158056</v>
      </c>
      <c r="J282" s="15">
        <f>ROUND(SUMPRODUCT(SUMIF(Final!$G$4:$G$330,CashReserveLevy!D282:F282,Final!$E$4:$E$330)),0)</f>
        <v>919477</v>
      </c>
      <c r="K282" s="15">
        <f t="shared" si="30"/>
        <v>238579</v>
      </c>
      <c r="L282" s="37">
        <f>INDEX(ActualCRLevy_SAS!$A$2:$D$326,MATCH(CashReserveLevy!$C282,ActualCRLevy_SAS!$B$2:$B$326,0),4)</f>
        <v>200000</v>
      </c>
      <c r="M282" s="38" t="str">
        <f t="shared" si="31"/>
        <v/>
      </c>
      <c r="N282" s="17" t="str">
        <f t="shared" si="32"/>
        <v/>
      </c>
      <c r="O282" s="17" t="str">
        <f t="shared" si="35"/>
        <v/>
      </c>
      <c r="Q282" s="36">
        <f t="shared" si="33"/>
        <v>38579</v>
      </c>
      <c r="U282" s="37">
        <v>238579</v>
      </c>
      <c r="V282" s="36">
        <f t="shared" si="34"/>
        <v>0</v>
      </c>
    </row>
    <row r="283" spans="1:22" x14ac:dyDescent="0.2">
      <c r="A283" s="14">
        <v>2024</v>
      </c>
      <c r="B283" s="14" t="s">
        <v>28</v>
      </c>
      <c r="C283" s="14" t="s">
        <v>578</v>
      </c>
      <c r="D283" s="14" t="s">
        <v>688</v>
      </c>
      <c r="E283" s="14" t="s">
        <v>688</v>
      </c>
      <c r="F283" s="14" t="s">
        <v>578</v>
      </c>
      <c r="G283" s="14" t="s">
        <v>579</v>
      </c>
      <c r="H283" s="15">
        <f>ROUND(SUMPRODUCT(SUMIF(Final!$G$4:$G$330,CashReserveLevy!D283:F283,Final!$C$4:$C$330)),0)</f>
        <v>5580602</v>
      </c>
      <c r="I283" s="15">
        <f t="shared" si="29"/>
        <v>1116120</v>
      </c>
      <c r="J283" s="15">
        <f>ROUND(SUMPRODUCT(SUMIF(Final!$G$4:$G$330,CashReserveLevy!D283:F283,Final!$E$4:$E$330)),0)</f>
        <v>2193912</v>
      </c>
      <c r="K283" s="15">
        <f t="shared" si="30"/>
        <v>0</v>
      </c>
      <c r="L283" s="37">
        <f>INDEX(ActualCRLevy_SAS!$A$2:$D$326,MATCH(CashReserveLevy!$C283,ActualCRLevy_SAS!$B$2:$B$326,0),4)</f>
        <v>0</v>
      </c>
      <c r="M283" s="38" t="str">
        <f t="shared" si="31"/>
        <v/>
      </c>
      <c r="N283" s="17" t="str">
        <f t="shared" si="32"/>
        <v/>
      </c>
      <c r="O283" s="17" t="str">
        <f t="shared" si="35"/>
        <v/>
      </c>
      <c r="Q283" s="36">
        <f t="shared" si="33"/>
        <v>0</v>
      </c>
      <c r="U283" s="37">
        <v>0</v>
      </c>
      <c r="V283" s="36">
        <f t="shared" si="34"/>
        <v>0</v>
      </c>
    </row>
    <row r="284" spans="1:22" x14ac:dyDescent="0.2">
      <c r="A284" s="14">
        <v>2024</v>
      </c>
      <c r="B284" s="14" t="s">
        <v>0</v>
      </c>
      <c r="C284" s="14" t="s">
        <v>580</v>
      </c>
      <c r="D284" s="14" t="s">
        <v>688</v>
      </c>
      <c r="E284" s="14" t="s">
        <v>688</v>
      </c>
      <c r="F284" s="14" t="s">
        <v>580</v>
      </c>
      <c r="G284" s="14" t="s">
        <v>581</v>
      </c>
      <c r="H284" s="15">
        <f>ROUND(SUMPRODUCT(SUMIF(Final!$G$4:$G$330,CashReserveLevy!D284:F284,Final!$C$4:$C$330)),0)</f>
        <v>4711708</v>
      </c>
      <c r="I284" s="15">
        <f t="shared" si="29"/>
        <v>942342</v>
      </c>
      <c r="J284" s="15">
        <f>ROUND(SUMPRODUCT(SUMIF(Final!$G$4:$G$330,CashReserveLevy!D284:F284,Final!$E$4:$E$330)),0)</f>
        <v>872036</v>
      </c>
      <c r="K284" s="15">
        <f t="shared" si="30"/>
        <v>70306</v>
      </c>
      <c r="L284" s="37">
        <f>INDEX(ActualCRLevy_SAS!$A$2:$D$326,MATCH(CashReserveLevy!$C284,ActualCRLevy_SAS!$B$2:$B$326,0),4)</f>
        <v>70306</v>
      </c>
      <c r="M284" s="38" t="str">
        <f t="shared" si="31"/>
        <v>Max</v>
      </c>
      <c r="N284" s="17" t="str">
        <f t="shared" si="32"/>
        <v/>
      </c>
      <c r="O284" s="17" t="str">
        <f t="shared" si="35"/>
        <v/>
      </c>
      <c r="Q284" s="36">
        <f t="shared" si="33"/>
        <v>0</v>
      </c>
      <c r="U284" s="37">
        <v>70306</v>
      </c>
      <c r="V284" s="36">
        <f t="shared" si="34"/>
        <v>0</v>
      </c>
    </row>
    <row r="285" spans="1:22" x14ac:dyDescent="0.2">
      <c r="A285" s="14">
        <v>2024</v>
      </c>
      <c r="B285" s="14" t="s">
        <v>14</v>
      </c>
      <c r="C285" s="14" t="s">
        <v>582</v>
      </c>
      <c r="D285" s="14" t="s">
        <v>688</v>
      </c>
      <c r="E285" s="14" t="s">
        <v>688</v>
      </c>
      <c r="F285" s="14" t="s">
        <v>582</v>
      </c>
      <c r="G285" s="14" t="s">
        <v>583</v>
      </c>
      <c r="H285" s="15">
        <f>ROUND(SUMPRODUCT(SUMIF(Final!$G$4:$G$330,CashReserveLevy!D285:F285,Final!$C$4:$C$330)),0)</f>
        <v>2700121</v>
      </c>
      <c r="I285" s="15">
        <f t="shared" si="29"/>
        <v>540024</v>
      </c>
      <c r="J285" s="15">
        <f>ROUND(SUMPRODUCT(SUMIF(Final!$G$4:$G$330,CashReserveLevy!D285:F285,Final!$E$4:$E$330)),0)</f>
        <v>2003689</v>
      </c>
      <c r="K285" s="15">
        <f t="shared" si="30"/>
        <v>0</v>
      </c>
      <c r="L285" s="37">
        <f>INDEX(ActualCRLevy_SAS!$A$2:$D$326,MATCH(CashReserveLevy!$C285,ActualCRLevy_SAS!$B$2:$B$326,0),4)</f>
        <v>0</v>
      </c>
      <c r="M285" s="38" t="str">
        <f t="shared" si="31"/>
        <v/>
      </c>
      <c r="N285" s="17" t="str">
        <f t="shared" si="32"/>
        <v/>
      </c>
      <c r="O285" s="17" t="str">
        <f t="shared" si="35"/>
        <v/>
      </c>
      <c r="Q285" s="36">
        <f t="shared" si="33"/>
        <v>0</v>
      </c>
      <c r="U285" s="37">
        <v>0</v>
      </c>
      <c r="V285" s="36">
        <f t="shared" si="34"/>
        <v>0</v>
      </c>
    </row>
    <row r="286" spans="1:22" x14ac:dyDescent="0.2">
      <c r="A286" s="14">
        <v>2024</v>
      </c>
      <c r="B286" s="14" t="s">
        <v>8</v>
      </c>
      <c r="C286" s="14" t="s">
        <v>584</v>
      </c>
      <c r="D286" s="14" t="s">
        <v>688</v>
      </c>
      <c r="E286" s="14" t="s">
        <v>688</v>
      </c>
      <c r="F286" s="14" t="s">
        <v>584</v>
      </c>
      <c r="G286" s="14" t="s">
        <v>585</v>
      </c>
      <c r="H286" s="15">
        <f>ROUND(SUMPRODUCT(SUMIF(Final!$G$4:$G$330,CashReserveLevy!D286:F286,Final!$C$4:$C$330)),0)</f>
        <v>10296316</v>
      </c>
      <c r="I286" s="15">
        <f t="shared" si="29"/>
        <v>2059263</v>
      </c>
      <c r="J286" s="15">
        <f>ROUND(SUMPRODUCT(SUMIF(Final!$G$4:$G$330,CashReserveLevy!D286:F286,Final!$E$4:$E$330)),0)</f>
        <v>456327</v>
      </c>
      <c r="K286" s="15">
        <f t="shared" si="30"/>
        <v>1602936</v>
      </c>
      <c r="L286" s="37">
        <f>INDEX(ActualCRLevy_SAS!$A$2:$D$326,MATCH(CashReserveLevy!$C286,ActualCRLevy_SAS!$B$2:$B$326,0),4)</f>
        <v>452508</v>
      </c>
      <c r="M286" s="38" t="str">
        <f t="shared" si="31"/>
        <v/>
      </c>
      <c r="N286" s="17" t="str">
        <f t="shared" si="32"/>
        <v/>
      </c>
      <c r="O286" s="17" t="str">
        <f t="shared" si="35"/>
        <v/>
      </c>
      <c r="Q286" s="36">
        <f t="shared" si="33"/>
        <v>1150428</v>
      </c>
      <c r="U286" s="37">
        <v>1602936</v>
      </c>
      <c r="V286" s="36">
        <f t="shared" si="34"/>
        <v>0</v>
      </c>
    </row>
    <row r="287" spans="1:22" x14ac:dyDescent="0.2">
      <c r="A287" s="14">
        <v>2024</v>
      </c>
      <c r="B287" s="14" t="s">
        <v>5</v>
      </c>
      <c r="C287" s="14" t="s">
        <v>586</v>
      </c>
      <c r="D287" s="14" t="s">
        <v>688</v>
      </c>
      <c r="E287" s="14" t="s">
        <v>688</v>
      </c>
      <c r="F287" s="14" t="s">
        <v>587</v>
      </c>
      <c r="G287" s="14" t="s">
        <v>588</v>
      </c>
      <c r="H287" s="15">
        <f>ROUND(SUMPRODUCT(SUMIF(Final!$G$4:$G$330,CashReserveLevy!D287:F287,Final!$C$4:$C$330)),0)</f>
        <v>12649588</v>
      </c>
      <c r="I287" s="15">
        <f t="shared" si="29"/>
        <v>2529918</v>
      </c>
      <c r="J287" s="15">
        <f>ROUND(SUMPRODUCT(SUMIF(Final!$G$4:$G$330,CashReserveLevy!D287:F287,Final!$E$4:$E$330)),0)</f>
        <v>2038966</v>
      </c>
      <c r="K287" s="15">
        <f t="shared" si="30"/>
        <v>490952</v>
      </c>
      <c r="L287" s="37">
        <f>INDEX(ActualCRLevy_SAS!$A$2:$D$326,MATCH(CashReserveLevy!$C287,ActualCRLevy_SAS!$B$2:$B$326,0),4)</f>
        <v>490000</v>
      </c>
      <c r="M287" s="38" t="str">
        <f t="shared" si="31"/>
        <v/>
      </c>
      <c r="N287" s="17" t="str">
        <f t="shared" si="32"/>
        <v/>
      </c>
      <c r="O287" s="17" t="str">
        <f t="shared" si="35"/>
        <v/>
      </c>
      <c r="Q287" s="36">
        <f t="shared" si="33"/>
        <v>952</v>
      </c>
      <c r="U287" s="37">
        <v>490952</v>
      </c>
      <c r="V287" s="36">
        <f t="shared" si="34"/>
        <v>0</v>
      </c>
    </row>
    <row r="288" spans="1:22" x14ac:dyDescent="0.2">
      <c r="A288" s="14">
        <v>2024</v>
      </c>
      <c r="B288" s="14" t="s">
        <v>0</v>
      </c>
      <c r="C288" s="14" t="s">
        <v>589</v>
      </c>
      <c r="D288" s="14" t="s">
        <v>688</v>
      </c>
      <c r="E288" s="14" t="s">
        <v>688</v>
      </c>
      <c r="F288" s="14" t="s">
        <v>589</v>
      </c>
      <c r="G288" s="14" t="s">
        <v>590</v>
      </c>
      <c r="H288" s="15">
        <f>ROUND(SUMPRODUCT(SUMIF(Final!$G$4:$G$330,CashReserveLevy!D288:F288,Final!$C$4:$C$330)),0)</f>
        <v>5651493</v>
      </c>
      <c r="I288" s="15">
        <f t="shared" si="29"/>
        <v>1130299</v>
      </c>
      <c r="J288" s="15">
        <f>ROUND(SUMPRODUCT(SUMIF(Final!$G$4:$G$330,CashReserveLevy!D288:F288,Final!$E$4:$E$330)),0)</f>
        <v>2603953</v>
      </c>
      <c r="K288" s="15">
        <f t="shared" si="30"/>
        <v>0</v>
      </c>
      <c r="L288" s="37">
        <f>INDEX(ActualCRLevy_SAS!$A$2:$D$326,MATCH(CashReserveLevy!$C288,ActualCRLevy_SAS!$B$2:$B$326,0),4)</f>
        <v>0</v>
      </c>
      <c r="M288" s="38" t="str">
        <f t="shared" si="31"/>
        <v/>
      </c>
      <c r="N288" s="17" t="str">
        <f t="shared" si="32"/>
        <v/>
      </c>
      <c r="O288" s="17" t="str">
        <f t="shared" si="35"/>
        <v/>
      </c>
      <c r="Q288" s="36">
        <f t="shared" si="33"/>
        <v>0</v>
      </c>
      <c r="U288" s="37">
        <v>0</v>
      </c>
      <c r="V288" s="36">
        <f t="shared" si="34"/>
        <v>0</v>
      </c>
    </row>
    <row r="289" spans="1:22" x14ac:dyDescent="0.2">
      <c r="A289" s="14">
        <v>2024</v>
      </c>
      <c r="B289" s="14" t="s">
        <v>0</v>
      </c>
      <c r="C289" s="14" t="s">
        <v>591</v>
      </c>
      <c r="D289" s="14" t="s">
        <v>688</v>
      </c>
      <c r="E289" s="14" t="s">
        <v>688</v>
      </c>
      <c r="F289" s="14" t="s">
        <v>591</v>
      </c>
      <c r="G289" s="14" t="s">
        <v>592</v>
      </c>
      <c r="H289" s="15">
        <f>ROUND(SUMPRODUCT(SUMIF(Final!$G$4:$G$330,CashReserveLevy!D289:F289,Final!$C$4:$C$330)),0)</f>
        <v>52913533</v>
      </c>
      <c r="I289" s="15">
        <f t="shared" si="29"/>
        <v>10582707</v>
      </c>
      <c r="J289" s="15">
        <f>ROUND(SUMPRODUCT(SUMIF(Final!$G$4:$G$330,CashReserveLevy!D289:F289,Final!$E$4:$E$330)),0)</f>
        <v>4707778</v>
      </c>
      <c r="K289" s="15">
        <f t="shared" si="30"/>
        <v>5874929</v>
      </c>
      <c r="L289" s="37">
        <f>INDEX(ActualCRLevy_SAS!$A$2:$D$326,MATCH(CashReserveLevy!$C289,ActualCRLevy_SAS!$B$2:$B$326,0),4)</f>
        <v>3905136</v>
      </c>
      <c r="M289" s="38" t="str">
        <f t="shared" si="31"/>
        <v/>
      </c>
      <c r="N289" s="17" t="str">
        <f t="shared" si="32"/>
        <v/>
      </c>
      <c r="O289" s="17" t="str">
        <f t="shared" si="35"/>
        <v/>
      </c>
      <c r="Q289" s="36">
        <f t="shared" si="33"/>
        <v>1969793</v>
      </c>
      <c r="U289" s="37">
        <v>5874929</v>
      </c>
      <c r="V289" s="36">
        <f t="shared" si="34"/>
        <v>0</v>
      </c>
    </row>
    <row r="290" spans="1:22" x14ac:dyDescent="0.2">
      <c r="A290" s="14">
        <v>2024</v>
      </c>
      <c r="B290" s="14" t="s">
        <v>17</v>
      </c>
      <c r="C290" s="14" t="s">
        <v>593</v>
      </c>
      <c r="D290" s="14" t="s">
        <v>688</v>
      </c>
      <c r="E290" s="14" t="s">
        <v>688</v>
      </c>
      <c r="F290" s="14" t="s">
        <v>593</v>
      </c>
      <c r="G290" s="14" t="s">
        <v>689</v>
      </c>
      <c r="H290" s="15">
        <f>ROUND(SUMPRODUCT(SUMIF(Final!$G$4:$G$330,CashReserveLevy!D290:F290,Final!$C$4:$C$330)),0)</f>
        <v>13424283</v>
      </c>
      <c r="I290" s="15">
        <f t="shared" si="29"/>
        <v>2684857</v>
      </c>
      <c r="J290" s="15">
        <f>ROUND(SUMPRODUCT(SUMIF(Final!$G$4:$G$330,CashReserveLevy!D290:F290,Final!$E$4:$E$330)),0)</f>
        <v>5614190</v>
      </c>
      <c r="K290" s="15">
        <f t="shared" si="30"/>
        <v>0</v>
      </c>
      <c r="L290" s="37">
        <f>INDEX(ActualCRLevy_SAS!$A$2:$D$326,MATCH(CashReserveLevy!$C290,ActualCRLevy_SAS!$B$2:$B$326,0),4)</f>
        <v>0</v>
      </c>
      <c r="M290" s="38" t="str">
        <f t="shared" si="31"/>
        <v/>
      </c>
      <c r="N290" s="17" t="str">
        <f t="shared" si="32"/>
        <v/>
      </c>
      <c r="O290" s="17" t="str">
        <f t="shared" si="35"/>
        <v/>
      </c>
      <c r="Q290" s="36">
        <f t="shared" si="33"/>
        <v>0</v>
      </c>
      <c r="U290" s="37">
        <v>0</v>
      </c>
      <c r="V290" s="36">
        <f t="shared" si="34"/>
        <v>0</v>
      </c>
    </row>
    <row r="291" spans="1:22" x14ac:dyDescent="0.2">
      <c r="A291" s="14">
        <v>2024</v>
      </c>
      <c r="B291" s="14" t="s">
        <v>0</v>
      </c>
      <c r="C291" s="14" t="s">
        <v>594</v>
      </c>
      <c r="D291" s="14" t="s">
        <v>688</v>
      </c>
      <c r="E291" s="14" t="s">
        <v>688</v>
      </c>
      <c r="F291" s="14" t="s">
        <v>594</v>
      </c>
      <c r="G291" s="14" t="s">
        <v>595</v>
      </c>
      <c r="H291" s="15">
        <f>ROUND(SUMPRODUCT(SUMIF(Final!$G$4:$G$330,CashReserveLevy!D291:F291,Final!$C$4:$C$330)),0)</f>
        <v>10016566</v>
      </c>
      <c r="I291" s="15">
        <f t="shared" si="29"/>
        <v>2003313</v>
      </c>
      <c r="J291" s="15">
        <f>ROUND(SUMPRODUCT(SUMIF(Final!$G$4:$G$330,CashReserveLevy!D291:F291,Final!$E$4:$E$330)),0)</f>
        <v>2418769</v>
      </c>
      <c r="K291" s="15">
        <f t="shared" si="30"/>
        <v>0</v>
      </c>
      <c r="L291" s="37">
        <f>INDEX(ActualCRLevy_SAS!$A$2:$D$326,MATCH(CashReserveLevy!$C291,ActualCRLevy_SAS!$B$2:$B$326,0),4)</f>
        <v>0</v>
      </c>
      <c r="M291" s="38" t="str">
        <f t="shared" si="31"/>
        <v/>
      </c>
      <c r="N291" s="17" t="str">
        <f t="shared" si="32"/>
        <v/>
      </c>
      <c r="O291" s="17" t="str">
        <f t="shared" si="35"/>
        <v/>
      </c>
      <c r="Q291" s="36">
        <f t="shared" si="33"/>
        <v>0</v>
      </c>
      <c r="U291" s="37">
        <v>0</v>
      </c>
      <c r="V291" s="36">
        <f t="shared" si="34"/>
        <v>0</v>
      </c>
    </row>
    <row r="292" spans="1:22" x14ac:dyDescent="0.2">
      <c r="A292" s="14">
        <v>2024</v>
      </c>
      <c r="B292" s="14" t="s">
        <v>8</v>
      </c>
      <c r="C292" s="14" t="s">
        <v>596</v>
      </c>
      <c r="D292" s="14" t="s">
        <v>688</v>
      </c>
      <c r="E292" s="14" t="s">
        <v>688</v>
      </c>
      <c r="F292" s="14" t="s">
        <v>596</v>
      </c>
      <c r="G292" s="14" t="s">
        <v>597</v>
      </c>
      <c r="H292" s="15">
        <f>ROUND(SUMPRODUCT(SUMIF(Final!$G$4:$G$330,CashReserveLevy!D292:F292,Final!$C$4:$C$330)),0)</f>
        <v>5031980</v>
      </c>
      <c r="I292" s="15">
        <f t="shared" si="29"/>
        <v>1006396</v>
      </c>
      <c r="J292" s="15">
        <f>ROUND(SUMPRODUCT(SUMIF(Final!$G$4:$G$330,CashReserveLevy!D292:F292,Final!$E$4:$E$330)),0)</f>
        <v>1603477</v>
      </c>
      <c r="K292" s="15">
        <f t="shared" si="30"/>
        <v>0</v>
      </c>
      <c r="L292" s="37">
        <f>INDEX(ActualCRLevy_SAS!$A$2:$D$326,MATCH(CashReserveLevy!$C292,ActualCRLevy_SAS!$B$2:$B$326,0),4)</f>
        <v>0</v>
      </c>
      <c r="M292" s="38" t="str">
        <f t="shared" si="31"/>
        <v/>
      </c>
      <c r="N292" s="17" t="str">
        <f t="shared" si="32"/>
        <v/>
      </c>
      <c r="O292" s="17" t="str">
        <f t="shared" si="35"/>
        <v/>
      </c>
      <c r="Q292" s="36">
        <f t="shared" si="33"/>
        <v>0</v>
      </c>
      <c r="U292" s="37">
        <v>0</v>
      </c>
      <c r="V292" s="36">
        <f t="shared" si="34"/>
        <v>0</v>
      </c>
    </row>
    <row r="293" spans="1:22" x14ac:dyDescent="0.2">
      <c r="A293" s="14">
        <v>2024</v>
      </c>
      <c r="B293" s="14" t="s">
        <v>20</v>
      </c>
      <c r="C293" s="14" t="s">
        <v>598</v>
      </c>
      <c r="D293" s="14" t="s">
        <v>688</v>
      </c>
      <c r="E293" s="14" t="s">
        <v>688</v>
      </c>
      <c r="F293" s="14" t="s">
        <v>598</v>
      </c>
      <c r="G293" s="14" t="s">
        <v>599</v>
      </c>
      <c r="H293" s="15">
        <f>ROUND(SUMPRODUCT(SUMIF(Final!$G$4:$G$330,CashReserveLevy!D293:F293,Final!$C$4:$C$330)),0)</f>
        <v>20420128</v>
      </c>
      <c r="I293" s="15">
        <f>ROUND(H293*0.2,0)</f>
        <v>4084026</v>
      </c>
      <c r="J293" s="15">
        <f>ROUND(SUMPRODUCT(SUMIF(Final!$G$4:$G$330,CashReserveLevy!D293:F293,Final!$E$4:$E$330)),0)</f>
        <v>2335574</v>
      </c>
      <c r="K293" s="15">
        <f t="shared" si="30"/>
        <v>1748452</v>
      </c>
      <c r="L293" s="37">
        <f>INDEX(ActualCRLevy_SAS!$A$2:$D$326,MATCH(CashReserveLevy!$C293,ActualCRLevy_SAS!$B$2:$B$326,0),4)</f>
        <v>1076936</v>
      </c>
      <c r="M293" s="38" t="str">
        <f t="shared" si="31"/>
        <v/>
      </c>
      <c r="N293" s="17" t="str">
        <f t="shared" si="32"/>
        <v/>
      </c>
      <c r="O293" s="17" t="str">
        <f t="shared" si="35"/>
        <v/>
      </c>
      <c r="Q293" s="36">
        <f t="shared" si="33"/>
        <v>671516</v>
      </c>
      <c r="U293" s="37">
        <v>1748452</v>
      </c>
      <c r="V293" s="36">
        <f t="shared" si="34"/>
        <v>0</v>
      </c>
    </row>
    <row r="294" spans="1:22" x14ac:dyDescent="0.2">
      <c r="A294" s="14">
        <v>2024</v>
      </c>
      <c r="B294" s="14" t="s">
        <v>17</v>
      </c>
      <c r="C294" s="14" t="s">
        <v>600</v>
      </c>
      <c r="D294" s="14" t="s">
        <v>688</v>
      </c>
      <c r="E294" s="14" t="s">
        <v>688</v>
      </c>
      <c r="F294" s="14" t="s">
        <v>600</v>
      </c>
      <c r="G294" s="14" t="s">
        <v>601</v>
      </c>
      <c r="H294" s="15">
        <f>ROUND(SUMPRODUCT(SUMIF(Final!$G$4:$G$330,CashReserveLevy!D294:F294,Final!$C$4:$C$330)),0)</f>
        <v>7717282</v>
      </c>
      <c r="I294" s="15">
        <f t="shared" si="29"/>
        <v>1543456</v>
      </c>
      <c r="J294" s="15">
        <f>ROUND(SUMPRODUCT(SUMIF(Final!$G$4:$G$330,CashReserveLevy!D294:F294,Final!$E$4:$E$330)),0)</f>
        <v>979554</v>
      </c>
      <c r="K294" s="15">
        <f t="shared" si="30"/>
        <v>563902</v>
      </c>
      <c r="L294" s="37">
        <f>INDEX(ActualCRLevy_SAS!$A$2:$D$326,MATCH(CashReserveLevy!$C294,ActualCRLevy_SAS!$B$2:$B$326,0),4)</f>
        <v>100000</v>
      </c>
      <c r="M294" s="38" t="str">
        <f t="shared" si="31"/>
        <v/>
      </c>
      <c r="N294" s="17" t="str">
        <f t="shared" si="32"/>
        <v/>
      </c>
      <c r="O294" s="17" t="str">
        <f t="shared" si="35"/>
        <v/>
      </c>
      <c r="Q294" s="36">
        <f t="shared" si="33"/>
        <v>463902</v>
      </c>
      <c r="U294" s="37">
        <v>563902</v>
      </c>
      <c r="V294" s="36">
        <f t="shared" si="34"/>
        <v>0</v>
      </c>
    </row>
    <row r="295" spans="1:22" x14ac:dyDescent="0.2">
      <c r="A295" s="14">
        <v>2024</v>
      </c>
      <c r="B295" s="14" t="s">
        <v>17</v>
      </c>
      <c r="C295" s="14" t="s">
        <v>602</v>
      </c>
      <c r="D295" s="14" t="s">
        <v>688</v>
      </c>
      <c r="E295" s="14" t="s">
        <v>688</v>
      </c>
      <c r="F295" s="14" t="s">
        <v>602</v>
      </c>
      <c r="G295" s="14" t="s">
        <v>603</v>
      </c>
      <c r="H295" s="15">
        <f>ROUND(SUMPRODUCT(SUMIF(Final!$G$4:$G$330,CashReserveLevy!D295:F295,Final!$C$4:$C$330)),0)</f>
        <v>8009531</v>
      </c>
      <c r="I295" s="15">
        <f t="shared" si="29"/>
        <v>1601906</v>
      </c>
      <c r="J295" s="15">
        <f>ROUND(SUMPRODUCT(SUMIF(Final!$G$4:$G$330,CashReserveLevy!D295:F295,Final!$E$4:$E$330)),0)</f>
        <v>1454298</v>
      </c>
      <c r="K295" s="15">
        <f t="shared" si="30"/>
        <v>147608</v>
      </c>
      <c r="L295" s="37">
        <f>INDEX(ActualCRLevy_SAS!$A$2:$D$326,MATCH(CashReserveLevy!$C295,ActualCRLevy_SAS!$B$2:$B$326,0),4)</f>
        <v>147608</v>
      </c>
      <c r="M295" s="38" t="str">
        <f t="shared" si="31"/>
        <v>Max</v>
      </c>
      <c r="N295" s="17" t="str">
        <f t="shared" si="32"/>
        <v/>
      </c>
      <c r="O295" s="17" t="str">
        <f t="shared" si="35"/>
        <v/>
      </c>
      <c r="Q295" s="36">
        <f t="shared" si="33"/>
        <v>0</v>
      </c>
      <c r="U295" s="37">
        <v>147608</v>
      </c>
      <c r="V295" s="36">
        <f t="shared" si="34"/>
        <v>0</v>
      </c>
    </row>
    <row r="296" spans="1:22" x14ac:dyDescent="0.2">
      <c r="A296" s="14">
        <v>2024</v>
      </c>
      <c r="B296" s="14" t="s">
        <v>5</v>
      </c>
      <c r="C296" s="14" t="s">
        <v>604</v>
      </c>
      <c r="D296" s="14" t="s">
        <v>688</v>
      </c>
      <c r="E296" s="14" t="s">
        <v>688</v>
      </c>
      <c r="F296" s="14" t="s">
        <v>604</v>
      </c>
      <c r="G296" s="14" t="s">
        <v>605</v>
      </c>
      <c r="H296" s="15">
        <f>ROUND(SUMPRODUCT(SUMIF(Final!$G$4:$G$330,CashReserveLevy!D296:F296,Final!$C$4:$C$330)),0)</f>
        <v>9240763</v>
      </c>
      <c r="I296" s="15">
        <f t="shared" si="29"/>
        <v>1848153</v>
      </c>
      <c r="J296" s="15">
        <f>ROUND(SUMPRODUCT(SUMIF(Final!$G$4:$G$330,CashReserveLevy!D296:F296,Final!$E$4:$E$330)),0)</f>
        <v>1534396</v>
      </c>
      <c r="K296" s="15">
        <f t="shared" si="30"/>
        <v>313757</v>
      </c>
      <c r="L296" s="37">
        <f>INDEX(ActualCRLevy_SAS!$A$2:$D$326,MATCH(CashReserveLevy!$C296,ActualCRLevy_SAS!$B$2:$B$326,0),4)</f>
        <v>313757</v>
      </c>
      <c r="M296" s="38" t="str">
        <f t="shared" si="31"/>
        <v>Max</v>
      </c>
      <c r="N296" s="17" t="str">
        <f t="shared" si="32"/>
        <v/>
      </c>
      <c r="O296" s="17" t="str">
        <f t="shared" si="35"/>
        <v/>
      </c>
      <c r="Q296" s="36">
        <f t="shared" si="33"/>
        <v>0</v>
      </c>
      <c r="U296" s="37">
        <v>313757</v>
      </c>
      <c r="V296" s="36">
        <f t="shared" si="34"/>
        <v>0</v>
      </c>
    </row>
    <row r="297" spans="1:22" x14ac:dyDescent="0.2">
      <c r="A297" s="14">
        <v>2024</v>
      </c>
      <c r="B297" s="14" t="s">
        <v>20</v>
      </c>
      <c r="C297" s="14" t="s">
        <v>606</v>
      </c>
      <c r="D297" s="14" t="s">
        <v>688</v>
      </c>
      <c r="E297" s="14" t="s">
        <v>688</v>
      </c>
      <c r="F297" s="14" t="s">
        <v>606</v>
      </c>
      <c r="G297" s="14" t="s">
        <v>607</v>
      </c>
      <c r="H297" s="15">
        <f>ROUND(SUMPRODUCT(SUMIF(Final!$G$4:$G$330,CashReserveLevy!D297:F297,Final!$C$4:$C$330)),0)</f>
        <v>24137703</v>
      </c>
      <c r="I297" s="15">
        <f t="shared" si="29"/>
        <v>4827541</v>
      </c>
      <c r="J297" s="15">
        <f>ROUND(SUMPRODUCT(SUMIF(Final!$G$4:$G$330,CashReserveLevy!D297:F297,Final!$E$4:$E$330)),0)</f>
        <v>4063228</v>
      </c>
      <c r="K297" s="15">
        <f t="shared" si="30"/>
        <v>764313</v>
      </c>
      <c r="L297" s="37">
        <f>INDEX(ActualCRLevy_SAS!$A$2:$D$326,MATCH(CashReserveLevy!$C297,ActualCRLevy_SAS!$B$2:$B$326,0),4)</f>
        <v>764313</v>
      </c>
      <c r="M297" s="38" t="str">
        <f t="shared" si="31"/>
        <v>Max</v>
      </c>
      <c r="N297" s="17" t="str">
        <f t="shared" si="32"/>
        <v/>
      </c>
      <c r="O297" s="17" t="str">
        <f t="shared" si="35"/>
        <v/>
      </c>
      <c r="Q297" s="36">
        <f t="shared" si="33"/>
        <v>0</v>
      </c>
      <c r="U297" s="37">
        <v>764313</v>
      </c>
      <c r="V297" s="36">
        <f t="shared" si="34"/>
        <v>0</v>
      </c>
    </row>
    <row r="298" spans="1:22" x14ac:dyDescent="0.2">
      <c r="A298" s="14">
        <v>2024</v>
      </c>
      <c r="B298" s="14" t="s">
        <v>5</v>
      </c>
      <c r="C298" s="14" t="s">
        <v>608</v>
      </c>
      <c r="D298" s="14" t="s">
        <v>688</v>
      </c>
      <c r="E298" s="14" t="s">
        <v>688</v>
      </c>
      <c r="F298" s="14" t="s">
        <v>608</v>
      </c>
      <c r="G298" s="14" t="s">
        <v>609</v>
      </c>
      <c r="H298" s="15">
        <f>ROUND(SUMPRODUCT(SUMIF(Final!$G$4:$G$330,CashReserveLevy!D298:F298,Final!$C$4:$C$330)),0)</f>
        <v>153341850</v>
      </c>
      <c r="I298" s="15">
        <f t="shared" si="29"/>
        <v>30668370</v>
      </c>
      <c r="J298" s="15">
        <f>ROUND(SUMPRODUCT(SUMIF(Final!$G$4:$G$330,CashReserveLevy!D298:F298,Final!$E$4:$E$330)),0)</f>
        <v>33040919</v>
      </c>
      <c r="K298" s="15">
        <f t="shared" si="30"/>
        <v>0</v>
      </c>
      <c r="L298" s="37">
        <f>INDEX(ActualCRLevy_SAS!$A$2:$D$326,MATCH(CashReserveLevy!$C298,ActualCRLevy_SAS!$B$2:$B$326,0),4)</f>
        <v>0</v>
      </c>
      <c r="M298" s="38" t="str">
        <f t="shared" si="31"/>
        <v/>
      </c>
      <c r="N298" s="17" t="str">
        <f t="shared" si="32"/>
        <v/>
      </c>
      <c r="O298" s="17" t="str">
        <f t="shared" si="35"/>
        <v/>
      </c>
      <c r="Q298" s="36">
        <f t="shared" si="33"/>
        <v>0</v>
      </c>
      <c r="U298" s="37">
        <v>0</v>
      </c>
      <c r="V298" s="36">
        <f t="shared" si="34"/>
        <v>0</v>
      </c>
    </row>
    <row r="299" spans="1:22" x14ac:dyDescent="0.2">
      <c r="A299" s="14">
        <v>2024</v>
      </c>
      <c r="B299" s="14" t="s">
        <v>0</v>
      </c>
      <c r="C299" s="14" t="s">
        <v>610</v>
      </c>
      <c r="D299" s="14" t="s">
        <v>688</v>
      </c>
      <c r="E299" s="14" t="s">
        <v>688</v>
      </c>
      <c r="F299" s="14" t="s">
        <v>610</v>
      </c>
      <c r="G299" s="14" t="s">
        <v>611</v>
      </c>
      <c r="H299" s="15">
        <f>ROUND(SUMPRODUCT(SUMIF(Final!$G$4:$G$330,CashReserveLevy!D299:F299,Final!$C$4:$C$330)),0)</f>
        <v>144645878</v>
      </c>
      <c r="I299" s="15">
        <f t="shared" si="29"/>
        <v>28929176</v>
      </c>
      <c r="J299" s="15">
        <f>ROUND(SUMPRODUCT(SUMIF(Final!$G$4:$G$330,CashReserveLevy!D299:F299,Final!$E$4:$E$330)),0)</f>
        <v>11253879</v>
      </c>
      <c r="K299" s="15">
        <f t="shared" si="30"/>
        <v>17675297</v>
      </c>
      <c r="L299" s="37">
        <f>INDEX(ActualCRLevy_SAS!$A$2:$D$326,MATCH(CashReserveLevy!$C299,ActualCRLevy_SAS!$B$2:$B$326,0),4)</f>
        <v>17675297</v>
      </c>
      <c r="M299" s="38" t="str">
        <f t="shared" si="31"/>
        <v>Max</v>
      </c>
      <c r="N299" s="17" t="str">
        <f t="shared" si="32"/>
        <v/>
      </c>
      <c r="O299" s="17" t="str">
        <f t="shared" si="35"/>
        <v/>
      </c>
      <c r="Q299" s="36">
        <f t="shared" si="33"/>
        <v>0</v>
      </c>
      <c r="U299" s="37">
        <v>17675297</v>
      </c>
      <c r="V299" s="36">
        <f t="shared" si="34"/>
        <v>0</v>
      </c>
    </row>
    <row r="300" spans="1:22" x14ac:dyDescent="0.2">
      <c r="A300" s="14">
        <v>2024</v>
      </c>
      <c r="B300" s="14" t="s">
        <v>5</v>
      </c>
      <c r="C300" s="14" t="s">
        <v>612</v>
      </c>
      <c r="D300" s="14" t="s">
        <v>688</v>
      </c>
      <c r="E300" s="14" t="s">
        <v>688</v>
      </c>
      <c r="F300" s="14" t="s">
        <v>612</v>
      </c>
      <c r="G300" s="14" t="s">
        <v>613</v>
      </c>
      <c r="H300" s="15">
        <f>ROUND(SUMPRODUCT(SUMIF(Final!$G$4:$G$330,CashReserveLevy!D300:F300,Final!$C$4:$C$330)),0)</f>
        <v>28864817</v>
      </c>
      <c r="I300" s="15">
        <f t="shared" si="29"/>
        <v>5772963</v>
      </c>
      <c r="J300" s="15">
        <f>ROUND(SUMPRODUCT(SUMIF(Final!$G$4:$G$330,CashReserveLevy!D300:F300,Final!$E$4:$E$330)),0)</f>
        <v>5463615</v>
      </c>
      <c r="K300" s="15">
        <f t="shared" si="30"/>
        <v>309348</v>
      </c>
      <c r="L300" s="37">
        <f>INDEX(ActualCRLevy_SAS!$A$2:$D$326,MATCH(CashReserveLevy!$C300,ActualCRLevy_SAS!$B$2:$B$326,0),4)</f>
        <v>309348</v>
      </c>
      <c r="M300" s="38" t="str">
        <f t="shared" si="31"/>
        <v>Max</v>
      </c>
      <c r="N300" s="17" t="str">
        <f t="shared" si="32"/>
        <v/>
      </c>
      <c r="O300" s="17" t="str">
        <f t="shared" si="35"/>
        <v/>
      </c>
      <c r="Q300" s="36">
        <f t="shared" si="33"/>
        <v>0</v>
      </c>
      <c r="U300" s="37">
        <v>309348</v>
      </c>
      <c r="V300" s="36">
        <f t="shared" si="34"/>
        <v>0</v>
      </c>
    </row>
    <row r="301" spans="1:22" x14ac:dyDescent="0.2">
      <c r="A301" s="14">
        <v>2024</v>
      </c>
      <c r="B301" s="14" t="s">
        <v>17</v>
      </c>
      <c r="C301" s="14" t="s">
        <v>614</v>
      </c>
      <c r="D301" s="14" t="s">
        <v>688</v>
      </c>
      <c r="E301" s="14" t="s">
        <v>688</v>
      </c>
      <c r="F301" s="14" t="s">
        <v>614</v>
      </c>
      <c r="G301" s="14" t="s">
        <v>615</v>
      </c>
      <c r="H301" s="15">
        <f>ROUND(SUMPRODUCT(SUMIF(Final!$G$4:$G$330,CashReserveLevy!D301:F301,Final!$C$4:$C$330)),0)</f>
        <v>7743602</v>
      </c>
      <c r="I301" s="15">
        <f t="shared" si="29"/>
        <v>1548720</v>
      </c>
      <c r="J301" s="15">
        <f>ROUND(SUMPRODUCT(SUMIF(Final!$G$4:$G$330,CashReserveLevy!D301:F301,Final!$E$4:$E$330)),0)</f>
        <v>4791477</v>
      </c>
      <c r="K301" s="15">
        <f t="shared" si="30"/>
        <v>0</v>
      </c>
      <c r="L301" s="37">
        <f>INDEX(ActualCRLevy_SAS!$A$2:$D$326,MATCH(CashReserveLevy!$C301,ActualCRLevy_SAS!$B$2:$B$326,0),4)</f>
        <v>0</v>
      </c>
      <c r="M301" s="38" t="str">
        <f t="shared" si="31"/>
        <v/>
      </c>
      <c r="N301" s="17" t="str">
        <f t="shared" si="32"/>
        <v/>
      </c>
      <c r="O301" s="17" t="str">
        <f t="shared" si="35"/>
        <v/>
      </c>
      <c r="Q301" s="36">
        <f t="shared" si="33"/>
        <v>0</v>
      </c>
      <c r="U301" s="37">
        <v>0</v>
      </c>
      <c r="V301" s="36">
        <f t="shared" si="34"/>
        <v>0</v>
      </c>
    </row>
    <row r="302" spans="1:22" x14ac:dyDescent="0.2">
      <c r="A302" s="14">
        <v>2024</v>
      </c>
      <c r="B302" s="14" t="s">
        <v>14</v>
      </c>
      <c r="C302" s="14" t="s">
        <v>616</v>
      </c>
      <c r="D302" s="14" t="s">
        <v>439</v>
      </c>
      <c r="E302" s="14" t="s">
        <v>688</v>
      </c>
      <c r="F302" s="14" t="s">
        <v>616</v>
      </c>
      <c r="G302" s="14" t="s">
        <v>617</v>
      </c>
      <c r="H302" s="15">
        <f>ROUND(SUMPRODUCT(SUMIF(Final!$G$4:$G$330,CashReserveLevy!D302:F302,Final!$C$4:$C$330)),0)</f>
        <v>23820681</v>
      </c>
      <c r="I302" s="15">
        <f t="shared" si="29"/>
        <v>4764136</v>
      </c>
      <c r="J302" s="15">
        <f>ROUND(SUMPRODUCT(SUMIF(Final!$G$4:$G$330,CashReserveLevy!D302:F302,Final!$E$4:$E$330)),0)</f>
        <v>4889693</v>
      </c>
      <c r="K302" s="15">
        <f t="shared" si="30"/>
        <v>0</v>
      </c>
      <c r="L302" s="37">
        <f>INDEX(ActualCRLevy_SAS!$A$2:$D$326,MATCH(CashReserveLevy!$C302,ActualCRLevy_SAS!$B$2:$B$326,0),4)</f>
        <v>0</v>
      </c>
      <c r="M302" s="38" t="str">
        <f t="shared" si="31"/>
        <v/>
      </c>
      <c r="N302" s="17" t="str">
        <f t="shared" si="32"/>
        <v/>
      </c>
      <c r="O302" s="17" t="str">
        <f t="shared" si="35"/>
        <v/>
      </c>
      <c r="Q302" s="36">
        <f t="shared" si="33"/>
        <v>0</v>
      </c>
      <c r="U302" s="37">
        <v>116019</v>
      </c>
      <c r="V302" s="36">
        <f t="shared" si="34"/>
        <v>-116019</v>
      </c>
    </row>
    <row r="303" spans="1:22" x14ac:dyDescent="0.2">
      <c r="A303" s="14">
        <v>2024</v>
      </c>
      <c r="B303" s="14" t="s">
        <v>14</v>
      </c>
      <c r="C303" s="14" t="s">
        <v>618</v>
      </c>
      <c r="D303" s="14" t="s">
        <v>688</v>
      </c>
      <c r="E303" s="14" t="s">
        <v>688</v>
      </c>
      <c r="F303" s="14" t="s">
        <v>618</v>
      </c>
      <c r="G303" s="14" t="s">
        <v>619</v>
      </c>
      <c r="H303" s="15">
        <f>ROUND(SUMPRODUCT(SUMIF(Final!$G$4:$G$330,CashReserveLevy!D303:F303,Final!$C$4:$C$330)),0)</f>
        <v>4688480</v>
      </c>
      <c r="I303" s="15">
        <f t="shared" si="29"/>
        <v>937696</v>
      </c>
      <c r="J303" s="15">
        <f>ROUND(SUMPRODUCT(SUMIF(Final!$G$4:$G$330,CashReserveLevy!D303:F303,Final!$E$4:$E$330)),0)</f>
        <v>1518898</v>
      </c>
      <c r="K303" s="15">
        <f t="shared" si="30"/>
        <v>0</v>
      </c>
      <c r="L303" s="37">
        <f>INDEX(ActualCRLevy_SAS!$A$2:$D$326,MATCH(CashReserveLevy!$C303,ActualCRLevy_SAS!$B$2:$B$326,0),4)</f>
        <v>0</v>
      </c>
      <c r="M303" s="38" t="str">
        <f t="shared" si="31"/>
        <v/>
      </c>
      <c r="N303" s="17" t="str">
        <f t="shared" si="32"/>
        <v/>
      </c>
      <c r="O303" s="17" t="str">
        <f t="shared" si="35"/>
        <v/>
      </c>
      <c r="Q303" s="36">
        <f t="shared" si="33"/>
        <v>0</v>
      </c>
      <c r="U303" s="37">
        <v>0</v>
      </c>
      <c r="V303" s="36">
        <f t="shared" si="34"/>
        <v>0</v>
      </c>
    </row>
    <row r="304" spans="1:22" x14ac:dyDescent="0.2">
      <c r="A304" s="14">
        <v>2024</v>
      </c>
      <c r="B304" s="14" t="s">
        <v>20</v>
      </c>
      <c r="C304" s="14" t="s">
        <v>620</v>
      </c>
      <c r="D304" s="14" t="s">
        <v>688</v>
      </c>
      <c r="E304" s="14" t="s">
        <v>688</v>
      </c>
      <c r="F304" s="14" t="s">
        <v>620</v>
      </c>
      <c r="G304" s="14" t="s">
        <v>621</v>
      </c>
      <c r="H304" s="15">
        <f>ROUND(SUMPRODUCT(SUMIF(Final!$G$4:$G$330,CashReserveLevy!D304:F304,Final!$C$4:$C$330)),0)</f>
        <v>10390562</v>
      </c>
      <c r="I304" s="15">
        <f t="shared" si="29"/>
        <v>2078112</v>
      </c>
      <c r="J304" s="15">
        <f>ROUND(SUMPRODUCT(SUMIF(Final!$G$4:$G$330,CashReserveLevy!D304:F304,Final!$E$4:$E$330)),0)</f>
        <v>1711086</v>
      </c>
      <c r="K304" s="15">
        <f t="shared" si="30"/>
        <v>367026</v>
      </c>
      <c r="L304" s="37">
        <f>INDEX(ActualCRLevy_SAS!$A$2:$D$326,MATCH(CashReserveLevy!$C304,ActualCRLevy_SAS!$B$2:$B$326,0),4)</f>
        <v>367026</v>
      </c>
      <c r="M304" s="38" t="str">
        <f t="shared" si="31"/>
        <v>Max</v>
      </c>
      <c r="N304" s="17" t="str">
        <f t="shared" si="32"/>
        <v/>
      </c>
      <c r="O304" s="17" t="str">
        <f t="shared" si="35"/>
        <v/>
      </c>
      <c r="Q304" s="36">
        <f t="shared" si="33"/>
        <v>0</v>
      </c>
      <c r="U304" s="37">
        <v>367026</v>
      </c>
      <c r="V304" s="36">
        <f t="shared" si="34"/>
        <v>0</v>
      </c>
    </row>
    <row r="305" spans="1:22" x14ac:dyDescent="0.2">
      <c r="A305" s="14">
        <v>2024</v>
      </c>
      <c r="B305" s="14" t="s">
        <v>17</v>
      </c>
      <c r="C305" s="14" t="s">
        <v>622</v>
      </c>
      <c r="D305" s="14" t="s">
        <v>688</v>
      </c>
      <c r="E305" s="14" t="s">
        <v>688</v>
      </c>
      <c r="F305" s="14" t="s">
        <v>622</v>
      </c>
      <c r="G305" s="14" t="s">
        <v>623</v>
      </c>
      <c r="H305" s="15">
        <f>ROUND(SUMPRODUCT(SUMIF(Final!$G$4:$G$330,CashReserveLevy!D305:F305,Final!$C$4:$C$330)),0)</f>
        <v>10352362</v>
      </c>
      <c r="I305" s="15">
        <f t="shared" si="29"/>
        <v>2070472</v>
      </c>
      <c r="J305" s="15">
        <f>ROUND(SUMPRODUCT(SUMIF(Final!$G$4:$G$330,CashReserveLevy!D305:F305,Final!$E$4:$E$330)),0)</f>
        <v>2292205</v>
      </c>
      <c r="K305" s="15">
        <f t="shared" si="30"/>
        <v>0</v>
      </c>
      <c r="L305" s="37">
        <f>INDEX(ActualCRLevy_SAS!$A$2:$D$326,MATCH(CashReserveLevy!$C305,ActualCRLevy_SAS!$B$2:$B$326,0),4)</f>
        <v>0</v>
      </c>
      <c r="M305" s="38" t="str">
        <f t="shared" si="31"/>
        <v/>
      </c>
      <c r="N305" s="17" t="str">
        <f t="shared" si="32"/>
        <v/>
      </c>
      <c r="O305" s="17" t="str">
        <f t="shared" si="35"/>
        <v/>
      </c>
      <c r="Q305" s="36">
        <f t="shared" si="33"/>
        <v>0</v>
      </c>
      <c r="U305" s="37">
        <v>0</v>
      </c>
      <c r="V305" s="36">
        <f t="shared" si="34"/>
        <v>0</v>
      </c>
    </row>
    <row r="306" spans="1:22" x14ac:dyDescent="0.2">
      <c r="A306" s="14">
        <v>2024</v>
      </c>
      <c r="B306" s="14" t="s">
        <v>28</v>
      </c>
      <c r="C306" s="14" t="s">
        <v>624</v>
      </c>
      <c r="D306" s="14" t="s">
        <v>688</v>
      </c>
      <c r="E306" s="14" t="s">
        <v>688</v>
      </c>
      <c r="F306" s="14" t="s">
        <v>624</v>
      </c>
      <c r="G306" s="14" t="s">
        <v>625</v>
      </c>
      <c r="H306" s="15">
        <f>ROUND(SUMPRODUCT(SUMIF(Final!$G$4:$G$330,CashReserveLevy!D306:F306,Final!$C$4:$C$330)),0)</f>
        <v>4353968</v>
      </c>
      <c r="I306" s="15">
        <f t="shared" si="29"/>
        <v>870794</v>
      </c>
      <c r="J306" s="15">
        <f>ROUND(SUMPRODUCT(SUMIF(Final!$G$4:$G$330,CashReserveLevy!D306:F306,Final!$E$4:$E$330)),0)</f>
        <v>1107736</v>
      </c>
      <c r="K306" s="15">
        <f t="shared" si="30"/>
        <v>0</v>
      </c>
      <c r="L306" s="37">
        <f>INDEX(ActualCRLevy_SAS!$A$2:$D$326,MATCH(CashReserveLevy!$C306,ActualCRLevy_SAS!$B$2:$B$326,0),4)</f>
        <v>0</v>
      </c>
      <c r="M306" s="38" t="str">
        <f t="shared" si="31"/>
        <v/>
      </c>
      <c r="N306" s="17" t="str">
        <f t="shared" si="32"/>
        <v/>
      </c>
      <c r="O306" s="17" t="str">
        <f t="shared" si="35"/>
        <v/>
      </c>
      <c r="Q306" s="36">
        <f t="shared" si="33"/>
        <v>0</v>
      </c>
      <c r="U306" s="37">
        <v>0</v>
      </c>
      <c r="V306" s="36">
        <f t="shared" si="34"/>
        <v>0</v>
      </c>
    </row>
    <row r="307" spans="1:22" x14ac:dyDescent="0.2">
      <c r="A307" s="14">
        <v>2024</v>
      </c>
      <c r="B307" s="14" t="s">
        <v>0</v>
      </c>
      <c r="C307" s="14" t="s">
        <v>626</v>
      </c>
      <c r="D307" s="14" t="s">
        <v>688</v>
      </c>
      <c r="E307" s="14" t="s">
        <v>688</v>
      </c>
      <c r="F307" s="14" t="s">
        <v>626</v>
      </c>
      <c r="G307" s="14" t="s">
        <v>627</v>
      </c>
      <c r="H307" s="15">
        <f>ROUND(SUMPRODUCT(SUMIF(Final!$G$4:$G$330,CashReserveLevy!D307:F307,Final!$C$4:$C$330)),0)</f>
        <v>11211968</v>
      </c>
      <c r="I307" s="15">
        <f t="shared" si="29"/>
        <v>2242394</v>
      </c>
      <c r="J307" s="15">
        <f>ROUND(SUMPRODUCT(SUMIF(Final!$G$4:$G$330,CashReserveLevy!D307:F307,Final!$E$4:$E$330)),0)</f>
        <v>3451312</v>
      </c>
      <c r="K307" s="15">
        <f t="shared" si="30"/>
        <v>0</v>
      </c>
      <c r="L307" s="37">
        <f>INDEX(ActualCRLevy_SAS!$A$2:$D$326,MATCH(CashReserveLevy!$C307,ActualCRLevy_SAS!$B$2:$B$326,0),4)</f>
        <v>0</v>
      </c>
      <c r="M307" s="38" t="str">
        <f t="shared" si="31"/>
        <v/>
      </c>
      <c r="N307" s="17" t="str">
        <f t="shared" si="32"/>
        <v/>
      </c>
      <c r="O307" s="17" t="str">
        <f t="shared" si="35"/>
        <v/>
      </c>
      <c r="Q307" s="36">
        <f t="shared" si="33"/>
        <v>0</v>
      </c>
      <c r="U307" s="37">
        <v>0</v>
      </c>
      <c r="V307" s="36">
        <f t="shared" si="34"/>
        <v>0</v>
      </c>
    </row>
    <row r="308" spans="1:22" x14ac:dyDescent="0.2">
      <c r="A308" s="14">
        <v>2024</v>
      </c>
      <c r="B308" s="14" t="s">
        <v>28</v>
      </c>
      <c r="C308" s="14" t="s">
        <v>628</v>
      </c>
      <c r="D308" s="14" t="s">
        <v>688</v>
      </c>
      <c r="E308" s="14" t="s">
        <v>688</v>
      </c>
      <c r="F308" s="14" t="s">
        <v>628</v>
      </c>
      <c r="G308" s="14" t="s">
        <v>629</v>
      </c>
      <c r="H308" s="15">
        <f>ROUND(SUMPRODUCT(SUMIF(Final!$G$4:$G$330,CashReserveLevy!D308:F308,Final!$C$4:$C$330)),0)</f>
        <v>18577656</v>
      </c>
      <c r="I308" s="15">
        <f t="shared" si="29"/>
        <v>3715531</v>
      </c>
      <c r="J308" s="15">
        <f>ROUND(SUMPRODUCT(SUMIF(Final!$G$4:$G$330,CashReserveLevy!D308:F308,Final!$E$4:$E$330)),0)</f>
        <v>906250</v>
      </c>
      <c r="K308" s="15">
        <f t="shared" si="30"/>
        <v>2809281</v>
      </c>
      <c r="L308" s="37">
        <f>INDEX(ActualCRLevy_SAS!$A$2:$D$326,MATCH(CashReserveLevy!$C308,ActualCRLevy_SAS!$B$2:$B$326,0),4)</f>
        <v>503618</v>
      </c>
      <c r="M308" s="38" t="str">
        <f t="shared" si="31"/>
        <v/>
      </c>
      <c r="N308" s="17" t="str">
        <f t="shared" si="32"/>
        <v/>
      </c>
      <c r="O308" s="17" t="str">
        <f t="shared" si="35"/>
        <v/>
      </c>
      <c r="Q308" s="36">
        <f>K308-L308</f>
        <v>2305663</v>
      </c>
      <c r="U308" s="37">
        <v>2809281</v>
      </c>
      <c r="V308" s="36">
        <f t="shared" si="34"/>
        <v>0</v>
      </c>
    </row>
    <row r="309" spans="1:22" x14ac:dyDescent="0.2">
      <c r="A309" s="14">
        <v>2024</v>
      </c>
      <c r="B309" s="14" t="s">
        <v>0</v>
      </c>
      <c r="C309" s="14" t="s">
        <v>630</v>
      </c>
      <c r="D309" s="14" t="s">
        <v>688</v>
      </c>
      <c r="E309" s="14" t="s">
        <v>688</v>
      </c>
      <c r="F309" s="14" t="s">
        <v>630</v>
      </c>
      <c r="G309" s="14" t="s">
        <v>631</v>
      </c>
      <c r="H309" s="15">
        <f>ROUND(SUMPRODUCT(SUMIF(Final!$G$4:$G$330,CashReserveLevy!D309:F309,Final!$C$4:$C$330)),0)</f>
        <v>122209790</v>
      </c>
      <c r="I309" s="15">
        <f t="shared" si="29"/>
        <v>24441958</v>
      </c>
      <c r="J309" s="15">
        <f>ROUND(SUMPRODUCT(SUMIF(Final!$G$4:$G$330,CashReserveLevy!D309:F309,Final!$E$4:$E$330)),0)</f>
        <v>20326638</v>
      </c>
      <c r="K309" s="15">
        <f t="shared" si="30"/>
        <v>4115320</v>
      </c>
      <c r="L309" s="37">
        <f>INDEX(ActualCRLevy_SAS!$A$2:$D$326,MATCH(CashReserveLevy!$C309,ActualCRLevy_SAS!$B$2:$B$326,0),4)</f>
        <v>4115320</v>
      </c>
      <c r="M309" s="38" t="str">
        <f t="shared" si="31"/>
        <v>Max</v>
      </c>
      <c r="N309" s="17" t="str">
        <f t="shared" si="32"/>
        <v/>
      </c>
      <c r="O309" s="17" t="str">
        <f t="shared" si="35"/>
        <v/>
      </c>
      <c r="Q309" s="36">
        <f t="shared" si="33"/>
        <v>0</v>
      </c>
      <c r="U309" s="37">
        <v>4115320</v>
      </c>
      <c r="V309" s="36">
        <f t="shared" si="34"/>
        <v>0</v>
      </c>
    </row>
    <row r="310" spans="1:22" x14ac:dyDescent="0.2">
      <c r="A310" s="14">
        <v>2024</v>
      </c>
      <c r="B310" s="14" t="s">
        <v>5</v>
      </c>
      <c r="C310" s="14" t="s">
        <v>632</v>
      </c>
      <c r="D310" s="14" t="s">
        <v>688</v>
      </c>
      <c r="E310" s="14" t="s">
        <v>688</v>
      </c>
      <c r="F310" s="14" t="s">
        <v>632</v>
      </c>
      <c r="G310" s="14" t="s">
        <v>633</v>
      </c>
      <c r="H310" s="15">
        <f>ROUND(SUMPRODUCT(SUMIF(Final!$G$4:$G$330,CashReserveLevy!D310:F310,Final!$C$4:$C$330)),0)</f>
        <v>9946599</v>
      </c>
      <c r="I310" s="15">
        <f t="shared" si="29"/>
        <v>1989320</v>
      </c>
      <c r="J310" s="15">
        <f>ROUND(SUMPRODUCT(SUMIF(Final!$G$4:$G$330,CashReserveLevy!D310:F310,Final!$E$4:$E$330)),0)</f>
        <v>1627859</v>
      </c>
      <c r="K310" s="15">
        <f t="shared" si="30"/>
        <v>361461</v>
      </c>
      <c r="L310" s="37">
        <f>INDEX(ActualCRLevy_SAS!$A$2:$D$326,MATCH(CashReserveLevy!$C310,ActualCRLevy_SAS!$B$2:$B$326,0),4)</f>
        <v>360000</v>
      </c>
      <c r="M310" s="38" t="str">
        <f t="shared" si="31"/>
        <v/>
      </c>
      <c r="N310" s="17" t="str">
        <f t="shared" si="32"/>
        <v/>
      </c>
      <c r="O310" s="17" t="str">
        <f t="shared" si="35"/>
        <v/>
      </c>
      <c r="Q310" s="36">
        <f t="shared" si="33"/>
        <v>1461</v>
      </c>
      <c r="U310" s="37">
        <v>361461</v>
      </c>
      <c r="V310" s="36">
        <f t="shared" si="34"/>
        <v>0</v>
      </c>
    </row>
    <row r="311" spans="1:22" x14ac:dyDescent="0.2">
      <c r="A311" s="14">
        <v>2024</v>
      </c>
      <c r="B311" s="14" t="s">
        <v>5</v>
      </c>
      <c r="C311" s="14" t="s">
        <v>634</v>
      </c>
      <c r="D311" s="14" t="s">
        <v>688</v>
      </c>
      <c r="E311" s="14" t="s">
        <v>688</v>
      </c>
      <c r="F311" s="14" t="s">
        <v>634</v>
      </c>
      <c r="G311" s="14" t="s">
        <v>635</v>
      </c>
      <c r="H311" s="15">
        <f>ROUND(SUMPRODUCT(SUMIF(Final!$G$4:$G$330,CashReserveLevy!D311:F311,Final!$C$4:$C$330)),0)</f>
        <v>7456397</v>
      </c>
      <c r="I311" s="15">
        <f t="shared" si="29"/>
        <v>1491279</v>
      </c>
      <c r="J311" s="15">
        <f>ROUND(SUMPRODUCT(SUMIF(Final!$G$4:$G$330,CashReserveLevy!D311:F311,Final!$E$4:$E$330)),0)</f>
        <v>1654986</v>
      </c>
      <c r="K311" s="15">
        <f t="shared" si="30"/>
        <v>0</v>
      </c>
      <c r="L311" s="37">
        <f>INDEX(ActualCRLevy_SAS!$A$2:$D$326,MATCH(CashReserveLevy!$C311,ActualCRLevy_SAS!$B$2:$B$326,0),4)</f>
        <v>0</v>
      </c>
      <c r="M311" s="38" t="str">
        <f t="shared" si="31"/>
        <v/>
      </c>
      <c r="N311" s="17" t="str">
        <f t="shared" si="32"/>
        <v/>
      </c>
      <c r="O311" s="17" t="str">
        <f t="shared" si="35"/>
        <v/>
      </c>
      <c r="Q311" s="36">
        <f t="shared" si="33"/>
        <v>0</v>
      </c>
      <c r="U311" s="37">
        <v>0</v>
      </c>
      <c r="V311" s="36">
        <f t="shared" si="34"/>
        <v>0</v>
      </c>
    </row>
    <row r="312" spans="1:22" x14ac:dyDescent="0.2">
      <c r="A312" s="14">
        <v>2024</v>
      </c>
      <c r="B312" s="14" t="s">
        <v>8</v>
      </c>
      <c r="C312" s="14" t="s">
        <v>636</v>
      </c>
      <c r="D312" s="14" t="s">
        <v>688</v>
      </c>
      <c r="E312" s="14" t="s">
        <v>688</v>
      </c>
      <c r="F312" s="14" t="s">
        <v>636</v>
      </c>
      <c r="G312" s="14" t="s">
        <v>637</v>
      </c>
      <c r="H312" s="15">
        <f>ROUND(SUMPRODUCT(SUMIF(Final!$G$4:$G$330,CashReserveLevy!D312:F312,Final!$C$4:$C$330)),0)</f>
        <v>5285845</v>
      </c>
      <c r="I312" s="15">
        <f t="shared" si="29"/>
        <v>1057169</v>
      </c>
      <c r="J312" s="15">
        <f>ROUND(SUMPRODUCT(SUMIF(Final!$G$4:$G$330,CashReserveLevy!D312:F312,Final!$E$4:$E$330)),0)</f>
        <v>893466</v>
      </c>
      <c r="K312" s="15">
        <f t="shared" si="30"/>
        <v>163703</v>
      </c>
      <c r="L312" s="37">
        <f>INDEX(ActualCRLevy_SAS!$A$2:$D$326,MATCH(CashReserveLevy!$C312,ActualCRLevy_SAS!$B$2:$B$326,0),4)</f>
        <v>163703</v>
      </c>
      <c r="M312" s="38" t="str">
        <f t="shared" si="31"/>
        <v>Max</v>
      </c>
      <c r="N312" s="17" t="str">
        <f t="shared" si="32"/>
        <v/>
      </c>
      <c r="O312" s="17" t="str">
        <f t="shared" si="35"/>
        <v/>
      </c>
      <c r="Q312" s="36">
        <f t="shared" si="33"/>
        <v>0</v>
      </c>
      <c r="U312" s="37">
        <v>163703</v>
      </c>
      <c r="V312" s="36">
        <f t="shared" si="34"/>
        <v>0</v>
      </c>
    </row>
    <row r="313" spans="1:22" x14ac:dyDescent="0.2">
      <c r="A313" s="14">
        <v>2024</v>
      </c>
      <c r="B313" s="14" t="s">
        <v>37</v>
      </c>
      <c r="C313" s="14" t="s">
        <v>638</v>
      </c>
      <c r="D313" s="14" t="s">
        <v>688</v>
      </c>
      <c r="E313" s="14" t="s">
        <v>688</v>
      </c>
      <c r="F313" s="14" t="s">
        <v>638</v>
      </c>
      <c r="G313" s="14" t="s">
        <v>639</v>
      </c>
      <c r="H313" s="15">
        <f>ROUND(SUMPRODUCT(SUMIF(Final!$G$4:$G$330,CashReserveLevy!D313:F313,Final!$C$4:$C$330)),0)</f>
        <v>15082829</v>
      </c>
      <c r="I313" s="15">
        <f t="shared" si="29"/>
        <v>3016566</v>
      </c>
      <c r="J313" s="15">
        <f>ROUND(SUMPRODUCT(SUMIF(Final!$G$4:$G$330,CashReserveLevy!D313:F313,Final!$E$4:$E$330)),0)</f>
        <v>7318665</v>
      </c>
      <c r="K313" s="15">
        <f t="shared" si="30"/>
        <v>0</v>
      </c>
      <c r="L313" s="37">
        <f>INDEX(ActualCRLevy_SAS!$A$2:$D$326,MATCH(CashReserveLevy!$C313,ActualCRLevy_SAS!$B$2:$B$326,0),4)</f>
        <v>0</v>
      </c>
      <c r="M313" s="38" t="str">
        <f t="shared" si="31"/>
        <v/>
      </c>
      <c r="N313" s="17" t="str">
        <f t="shared" si="32"/>
        <v/>
      </c>
      <c r="O313" s="17" t="str">
        <f t="shared" si="35"/>
        <v/>
      </c>
      <c r="Q313" s="36">
        <f t="shared" si="33"/>
        <v>0</v>
      </c>
      <c r="U313" s="37">
        <v>0</v>
      </c>
      <c r="V313" s="36">
        <f t="shared" si="34"/>
        <v>0</v>
      </c>
    </row>
    <row r="314" spans="1:22" x14ac:dyDescent="0.2">
      <c r="A314" s="14">
        <v>2024</v>
      </c>
      <c r="B314" s="14" t="s">
        <v>11</v>
      </c>
      <c r="C314" s="14" t="s">
        <v>640</v>
      </c>
      <c r="D314" s="14" t="s">
        <v>688</v>
      </c>
      <c r="E314" s="14" t="s">
        <v>688</v>
      </c>
      <c r="F314" s="14" t="s">
        <v>640</v>
      </c>
      <c r="G314" s="14" t="s">
        <v>641</v>
      </c>
      <c r="H314" s="15">
        <f>ROUND(SUMPRODUCT(SUMIF(Final!$G$4:$G$330,CashReserveLevy!D314:F314,Final!$C$4:$C$330)),0)</f>
        <v>11214860</v>
      </c>
      <c r="I314" s="15">
        <f t="shared" si="29"/>
        <v>2242972</v>
      </c>
      <c r="J314" s="15">
        <f>ROUND(SUMPRODUCT(SUMIF(Final!$G$4:$G$330,CashReserveLevy!D314:F314,Final!$E$4:$E$330)),0)</f>
        <v>2053713</v>
      </c>
      <c r="K314" s="15">
        <f t="shared" si="30"/>
        <v>189259</v>
      </c>
      <c r="L314" s="37">
        <f>INDEX(ActualCRLevy_SAS!$A$2:$D$326,MATCH(CashReserveLevy!$C314,ActualCRLevy_SAS!$B$2:$B$326,0),4)</f>
        <v>103920</v>
      </c>
      <c r="M314" s="38" t="str">
        <f t="shared" si="31"/>
        <v/>
      </c>
      <c r="N314" s="17" t="str">
        <f t="shared" si="32"/>
        <v/>
      </c>
      <c r="O314" s="17" t="str">
        <f t="shared" si="35"/>
        <v/>
      </c>
      <c r="Q314" s="36">
        <f t="shared" si="33"/>
        <v>85339</v>
      </c>
      <c r="U314" s="37">
        <v>189259</v>
      </c>
      <c r="V314" s="36">
        <f t="shared" si="34"/>
        <v>0</v>
      </c>
    </row>
    <row r="315" spans="1:22" x14ac:dyDescent="0.2">
      <c r="A315" s="14">
        <v>2024</v>
      </c>
      <c r="B315" s="14" t="s">
        <v>5</v>
      </c>
      <c r="C315" s="14" t="s">
        <v>642</v>
      </c>
      <c r="D315" s="14" t="s">
        <v>688</v>
      </c>
      <c r="E315" s="14" t="s">
        <v>688</v>
      </c>
      <c r="F315" s="14" t="s">
        <v>642</v>
      </c>
      <c r="G315" s="14" t="s">
        <v>643</v>
      </c>
      <c r="H315" s="15">
        <f>ROUND(SUMPRODUCT(SUMIF(Final!$G$4:$G$330,CashReserveLevy!D315:F315,Final!$C$4:$C$330)),0)</f>
        <v>10742236</v>
      </c>
      <c r="I315" s="15">
        <f t="shared" si="29"/>
        <v>2148447</v>
      </c>
      <c r="J315" s="15">
        <f>ROUND(SUMPRODUCT(SUMIF(Final!$G$4:$G$330,CashReserveLevy!D315:F315,Final!$E$4:$E$330)),0)</f>
        <v>4283017</v>
      </c>
      <c r="K315" s="15">
        <f t="shared" si="30"/>
        <v>0</v>
      </c>
      <c r="L315" s="37">
        <f>INDEX(ActualCRLevy_SAS!$A$2:$D$326,MATCH(CashReserveLevy!$C315,ActualCRLevy_SAS!$B$2:$B$326,0),4)</f>
        <v>0</v>
      </c>
      <c r="M315" s="38" t="str">
        <f t="shared" si="31"/>
        <v/>
      </c>
      <c r="N315" s="17" t="str">
        <f t="shared" si="32"/>
        <v/>
      </c>
      <c r="O315" s="17" t="str">
        <f t="shared" si="35"/>
        <v/>
      </c>
      <c r="Q315" s="36">
        <f t="shared" si="33"/>
        <v>0</v>
      </c>
      <c r="U315" s="37">
        <v>0</v>
      </c>
      <c r="V315" s="36">
        <f t="shared" si="34"/>
        <v>0</v>
      </c>
    </row>
    <row r="316" spans="1:22" x14ac:dyDescent="0.2">
      <c r="A316" s="14">
        <v>2024</v>
      </c>
      <c r="B316" s="14" t="s">
        <v>11</v>
      </c>
      <c r="C316" s="14" t="s">
        <v>644</v>
      </c>
      <c r="D316" s="14" t="s">
        <v>688</v>
      </c>
      <c r="E316" s="14" t="s">
        <v>688</v>
      </c>
      <c r="F316" s="14" t="s">
        <v>644</v>
      </c>
      <c r="G316" s="14" t="s">
        <v>645</v>
      </c>
      <c r="H316" s="15">
        <f>ROUND(SUMPRODUCT(SUMIF(Final!$G$4:$G$330,CashReserveLevy!D316:F316,Final!$C$4:$C$330)),0)</f>
        <v>8779313</v>
      </c>
      <c r="I316" s="15">
        <f t="shared" si="29"/>
        <v>1755863</v>
      </c>
      <c r="J316" s="15">
        <f>ROUND(SUMPRODUCT(SUMIF(Final!$G$4:$G$330,CashReserveLevy!D316:F316,Final!$E$4:$E$330)),0)</f>
        <v>3369210</v>
      </c>
      <c r="K316" s="15">
        <f t="shared" si="30"/>
        <v>0</v>
      </c>
      <c r="L316" s="37">
        <f>INDEX(ActualCRLevy_SAS!$A$2:$D$326,MATCH(CashReserveLevy!$C316,ActualCRLevy_SAS!$B$2:$B$326,0),4)</f>
        <v>0</v>
      </c>
      <c r="M316" s="38" t="str">
        <f t="shared" si="31"/>
        <v/>
      </c>
      <c r="N316" s="17" t="str">
        <f t="shared" si="32"/>
        <v/>
      </c>
      <c r="O316" s="17" t="str">
        <f t="shared" si="35"/>
        <v/>
      </c>
      <c r="Q316" s="36">
        <f t="shared" si="33"/>
        <v>0</v>
      </c>
      <c r="U316" s="37">
        <v>0</v>
      </c>
      <c r="V316" s="36">
        <f t="shared" si="34"/>
        <v>0</v>
      </c>
    </row>
    <row r="317" spans="1:22" x14ac:dyDescent="0.2">
      <c r="A317" s="14">
        <v>2024</v>
      </c>
      <c r="B317" s="14" t="s">
        <v>11</v>
      </c>
      <c r="C317" s="14" t="s">
        <v>646</v>
      </c>
      <c r="D317" s="14" t="s">
        <v>688</v>
      </c>
      <c r="E317" s="14" t="s">
        <v>688</v>
      </c>
      <c r="F317" s="14" t="s">
        <v>646</v>
      </c>
      <c r="G317" s="14" t="s">
        <v>647</v>
      </c>
      <c r="H317" s="15">
        <f>ROUND(SUMPRODUCT(SUMIF(Final!$G$4:$G$330,CashReserveLevy!D317:F317,Final!$C$4:$C$330)),0)</f>
        <v>11183089</v>
      </c>
      <c r="I317" s="15">
        <f t="shared" si="29"/>
        <v>2236618</v>
      </c>
      <c r="J317" s="15">
        <f>ROUND(SUMPRODUCT(SUMIF(Final!$G$4:$G$330,CashReserveLevy!D317:F317,Final!$E$4:$E$330)),0)</f>
        <v>2200679</v>
      </c>
      <c r="K317" s="15">
        <f t="shared" si="30"/>
        <v>35939</v>
      </c>
      <c r="L317" s="37">
        <f>INDEX(ActualCRLevy_SAS!$A$2:$D$326,MATCH(CashReserveLevy!$C317,ActualCRLevy_SAS!$B$2:$B$326,0),4)</f>
        <v>35939</v>
      </c>
      <c r="M317" s="38" t="str">
        <f t="shared" si="31"/>
        <v>Max</v>
      </c>
      <c r="N317" s="17" t="str">
        <f t="shared" si="32"/>
        <v/>
      </c>
      <c r="O317" s="17" t="str">
        <f t="shared" si="35"/>
        <v/>
      </c>
      <c r="Q317" s="36">
        <f t="shared" si="33"/>
        <v>0</v>
      </c>
      <c r="U317" s="37">
        <v>35939</v>
      </c>
      <c r="V317" s="36">
        <f t="shared" si="34"/>
        <v>0</v>
      </c>
    </row>
    <row r="318" spans="1:22" x14ac:dyDescent="0.2">
      <c r="A318" s="14">
        <v>2024</v>
      </c>
      <c r="B318" s="14" t="s">
        <v>28</v>
      </c>
      <c r="C318" s="14" t="s">
        <v>648</v>
      </c>
      <c r="D318" s="14" t="s">
        <v>688</v>
      </c>
      <c r="E318" s="14" t="s">
        <v>688</v>
      </c>
      <c r="F318" s="14" t="s">
        <v>648</v>
      </c>
      <c r="G318" s="14" t="s">
        <v>649</v>
      </c>
      <c r="H318" s="15">
        <f>ROUND(SUMPRODUCT(SUMIF(Final!$G$4:$G$330,CashReserveLevy!D318:F318,Final!$C$4:$C$330)),0)</f>
        <v>43036325</v>
      </c>
      <c r="I318" s="15">
        <f t="shared" si="29"/>
        <v>8607265</v>
      </c>
      <c r="J318" s="15">
        <f>ROUND(SUMPRODUCT(SUMIF(Final!$G$4:$G$330,CashReserveLevy!D318:F318,Final!$E$4:$E$330)),0)</f>
        <v>7643782</v>
      </c>
      <c r="K318" s="15">
        <f t="shared" si="30"/>
        <v>963483</v>
      </c>
      <c r="L318" s="37">
        <f>INDEX(ActualCRLevy_SAS!$A$2:$D$326,MATCH(CashReserveLevy!$C318,ActualCRLevy_SAS!$B$2:$B$326,0),4)</f>
        <v>963483</v>
      </c>
      <c r="M318" s="38" t="str">
        <f t="shared" si="31"/>
        <v>Max</v>
      </c>
      <c r="N318" s="17" t="str">
        <f t="shared" si="32"/>
        <v/>
      </c>
      <c r="O318" s="17" t="str">
        <f t="shared" si="35"/>
        <v/>
      </c>
      <c r="Q318" s="36">
        <f t="shared" si="33"/>
        <v>0</v>
      </c>
      <c r="U318" s="37">
        <v>963483</v>
      </c>
      <c r="V318" s="36">
        <f t="shared" si="34"/>
        <v>0</v>
      </c>
    </row>
    <row r="319" spans="1:22" x14ac:dyDescent="0.2">
      <c r="A319" s="14">
        <v>2024</v>
      </c>
      <c r="B319" s="14" t="s">
        <v>11</v>
      </c>
      <c r="C319" s="14" t="s">
        <v>650</v>
      </c>
      <c r="D319" s="14" t="s">
        <v>688</v>
      </c>
      <c r="E319" s="14" t="s">
        <v>688</v>
      </c>
      <c r="F319" s="14" t="s">
        <v>650</v>
      </c>
      <c r="G319" s="14" t="s">
        <v>651</v>
      </c>
      <c r="H319" s="15">
        <f>ROUND(SUMPRODUCT(SUMIF(Final!$G$4:$G$330,CashReserveLevy!D319:F319,Final!$C$4:$C$330)),0)</f>
        <v>7607692</v>
      </c>
      <c r="I319" s="15">
        <f t="shared" si="29"/>
        <v>1521538</v>
      </c>
      <c r="J319" s="15">
        <f>ROUND(SUMPRODUCT(SUMIF(Final!$G$4:$G$330,CashReserveLevy!D319:F319,Final!$E$4:$E$330)),0)</f>
        <v>3115105</v>
      </c>
      <c r="K319" s="15">
        <f t="shared" si="30"/>
        <v>0</v>
      </c>
      <c r="L319" s="37">
        <f>INDEX(ActualCRLevy_SAS!$A$2:$D$326,MATCH(CashReserveLevy!$C319,ActualCRLevy_SAS!$B$2:$B$326,0),4)</f>
        <v>0</v>
      </c>
      <c r="M319" s="38" t="str">
        <f t="shared" si="31"/>
        <v/>
      </c>
      <c r="N319" s="17" t="str">
        <f t="shared" si="32"/>
        <v/>
      </c>
      <c r="O319" s="17" t="str">
        <f t="shared" si="35"/>
        <v/>
      </c>
      <c r="Q319" s="36">
        <f t="shared" si="33"/>
        <v>0</v>
      </c>
      <c r="U319" s="37">
        <v>0</v>
      </c>
      <c r="V319" s="36">
        <f t="shared" si="34"/>
        <v>0</v>
      </c>
    </row>
    <row r="320" spans="1:22" x14ac:dyDescent="0.2">
      <c r="A320" s="14">
        <v>2024</v>
      </c>
      <c r="B320" s="14" t="s">
        <v>11</v>
      </c>
      <c r="C320" s="14" t="s">
        <v>652</v>
      </c>
      <c r="D320" s="14" t="s">
        <v>688</v>
      </c>
      <c r="E320" s="14" t="s">
        <v>688</v>
      </c>
      <c r="F320" s="14" t="s">
        <v>652</v>
      </c>
      <c r="G320" s="14" t="s">
        <v>653</v>
      </c>
      <c r="H320" s="15">
        <f>ROUND(SUMPRODUCT(SUMIF(Final!$G$4:$G$330,CashReserveLevy!D320:F320,Final!$C$4:$C$330)),0)</f>
        <v>3212085</v>
      </c>
      <c r="I320" s="15">
        <f t="shared" si="29"/>
        <v>642417</v>
      </c>
      <c r="J320" s="15">
        <f>ROUND(SUMPRODUCT(SUMIF(Final!$G$4:$G$330,CashReserveLevy!D320:F320,Final!$E$4:$E$330)),0)</f>
        <v>628341</v>
      </c>
      <c r="K320" s="15">
        <f t="shared" si="30"/>
        <v>14076</v>
      </c>
      <c r="L320" s="37">
        <f>INDEX(ActualCRLevy_SAS!$A$2:$D$326,MATCH(CashReserveLevy!$C320,ActualCRLevy_SAS!$B$2:$B$326,0),4)</f>
        <v>14076</v>
      </c>
      <c r="M320" s="38" t="str">
        <f t="shared" si="31"/>
        <v>Max</v>
      </c>
      <c r="N320" s="17" t="str">
        <f t="shared" si="32"/>
        <v/>
      </c>
      <c r="O320" s="17" t="str">
        <f t="shared" si="35"/>
        <v/>
      </c>
      <c r="Q320" s="36">
        <f t="shared" si="33"/>
        <v>0</v>
      </c>
      <c r="U320" s="37">
        <v>14076</v>
      </c>
      <c r="V320" s="36">
        <f t="shared" si="34"/>
        <v>0</v>
      </c>
    </row>
    <row r="321" spans="1:22" x14ac:dyDescent="0.2">
      <c r="A321" s="14">
        <v>2024</v>
      </c>
      <c r="B321" s="14" t="s">
        <v>20</v>
      </c>
      <c r="C321" s="14" t="s">
        <v>654</v>
      </c>
      <c r="D321" s="14" t="s">
        <v>688</v>
      </c>
      <c r="E321" s="14" t="s">
        <v>688</v>
      </c>
      <c r="F321" s="14" t="s">
        <v>654</v>
      </c>
      <c r="G321" s="14" t="s">
        <v>655</v>
      </c>
      <c r="H321" s="15">
        <f>ROUND(SUMPRODUCT(SUMIF(Final!$G$4:$G$330,CashReserveLevy!D321:F321,Final!$C$4:$C$330)),0)</f>
        <v>15279588</v>
      </c>
      <c r="I321" s="15">
        <f t="shared" si="29"/>
        <v>3055918</v>
      </c>
      <c r="J321" s="15">
        <f>ROUND(SUMPRODUCT(SUMIF(Final!$G$4:$G$330,CashReserveLevy!D321:F321,Final!$E$4:$E$330)),0)</f>
        <v>2156625</v>
      </c>
      <c r="K321" s="15">
        <f t="shared" si="30"/>
        <v>899293</v>
      </c>
      <c r="L321" s="37">
        <f>INDEX(ActualCRLevy_SAS!$A$2:$D$326,MATCH(CashReserveLevy!$C321,ActualCRLevy_SAS!$B$2:$B$326,0),4)</f>
        <v>715000</v>
      </c>
      <c r="M321" s="38" t="str">
        <f t="shared" si="31"/>
        <v/>
      </c>
      <c r="N321" s="17" t="str">
        <f t="shared" si="32"/>
        <v/>
      </c>
      <c r="O321" s="17" t="str">
        <f t="shared" si="35"/>
        <v/>
      </c>
      <c r="Q321" s="36">
        <f t="shared" si="33"/>
        <v>184293</v>
      </c>
      <c r="U321" s="37">
        <v>899293</v>
      </c>
      <c r="V321" s="36">
        <f t="shared" si="34"/>
        <v>0</v>
      </c>
    </row>
    <row r="322" spans="1:22" x14ac:dyDescent="0.2">
      <c r="A322" s="14">
        <v>2024</v>
      </c>
      <c r="B322" s="14" t="s">
        <v>37</v>
      </c>
      <c r="C322" s="14" t="s">
        <v>656</v>
      </c>
      <c r="D322" s="14" t="s">
        <v>688</v>
      </c>
      <c r="E322" s="14" t="s">
        <v>688</v>
      </c>
      <c r="F322" s="14" t="s">
        <v>656</v>
      </c>
      <c r="G322" s="14" t="s">
        <v>657</v>
      </c>
      <c r="H322" s="15">
        <f>ROUND(SUMPRODUCT(SUMIF(Final!$G$4:$G$330,CashReserveLevy!D322:F322,Final!$C$4:$C$330)),0)</f>
        <v>10905025</v>
      </c>
      <c r="I322" s="15">
        <f t="shared" si="29"/>
        <v>2181005</v>
      </c>
      <c r="J322" s="15">
        <f>ROUND(SUMPRODUCT(SUMIF(Final!$G$4:$G$330,CashReserveLevy!D322:F322,Final!$E$4:$E$330)),0)</f>
        <v>2952689</v>
      </c>
      <c r="K322" s="15">
        <f t="shared" si="30"/>
        <v>0</v>
      </c>
      <c r="L322" s="37">
        <f>INDEX(ActualCRLevy_SAS!$A$2:$D$326,MATCH(CashReserveLevy!$C322,ActualCRLevy_SAS!$B$2:$B$326,0),4)</f>
        <v>0</v>
      </c>
      <c r="M322" s="38" t="str">
        <f t="shared" si="31"/>
        <v/>
      </c>
      <c r="N322" s="17" t="str">
        <f t="shared" si="32"/>
        <v/>
      </c>
      <c r="O322" s="17" t="str">
        <f t="shared" si="35"/>
        <v/>
      </c>
      <c r="Q322" s="36">
        <f t="shared" si="33"/>
        <v>0</v>
      </c>
      <c r="U322" s="37">
        <v>0</v>
      </c>
      <c r="V322" s="36">
        <f t="shared" si="34"/>
        <v>0</v>
      </c>
    </row>
    <row r="323" spans="1:22" x14ac:dyDescent="0.2">
      <c r="A323" s="14">
        <v>2024</v>
      </c>
      <c r="B323" s="14" t="s">
        <v>17</v>
      </c>
      <c r="C323" s="14" t="s">
        <v>658</v>
      </c>
      <c r="D323" s="14" t="s">
        <v>688</v>
      </c>
      <c r="E323" s="14" t="s">
        <v>688</v>
      </c>
      <c r="F323" s="14" t="s">
        <v>658</v>
      </c>
      <c r="G323" s="14" t="s">
        <v>659</v>
      </c>
      <c r="H323" s="15">
        <f>ROUND(SUMPRODUCT(SUMIF(Final!$G$4:$G$330,CashReserveLevy!D323:F323,Final!$C$4:$C$330)),0)</f>
        <v>4924155</v>
      </c>
      <c r="I323" s="15">
        <f t="shared" si="29"/>
        <v>984831</v>
      </c>
      <c r="J323" s="15">
        <f>ROUND(SUMPRODUCT(SUMIF(Final!$G$4:$G$330,CashReserveLevy!D323:F323,Final!$E$4:$E$330)),0)</f>
        <v>747645</v>
      </c>
      <c r="K323" s="15">
        <f t="shared" si="30"/>
        <v>237186</v>
      </c>
      <c r="L323" s="37">
        <f>INDEX(ActualCRLevy_SAS!$A$2:$D$326,MATCH(CashReserveLevy!$C323,ActualCRLevy_SAS!$B$2:$B$326,0),4)</f>
        <v>109336</v>
      </c>
      <c r="M323" s="38" t="str">
        <f t="shared" si="31"/>
        <v/>
      </c>
      <c r="N323" s="17" t="str">
        <f t="shared" si="32"/>
        <v/>
      </c>
      <c r="O323" s="17" t="str">
        <f t="shared" si="35"/>
        <v/>
      </c>
      <c r="Q323" s="36">
        <f t="shared" si="33"/>
        <v>127850</v>
      </c>
      <c r="U323" s="37">
        <v>237186</v>
      </c>
      <c r="V323" s="36">
        <f t="shared" si="34"/>
        <v>0</v>
      </c>
    </row>
    <row r="324" spans="1:22" x14ac:dyDescent="0.2">
      <c r="A324" s="14">
        <v>2024</v>
      </c>
      <c r="B324" s="14" t="s">
        <v>0</v>
      </c>
      <c r="C324" s="14" t="s">
        <v>660</v>
      </c>
      <c r="D324" s="14" t="s">
        <v>688</v>
      </c>
      <c r="E324" s="14" t="s">
        <v>688</v>
      </c>
      <c r="F324" s="14" t="s">
        <v>660</v>
      </c>
      <c r="G324" s="14" t="s">
        <v>661</v>
      </c>
      <c r="H324" s="15">
        <f>ROUND(SUMPRODUCT(SUMIF(Final!$G$4:$G$330,CashReserveLevy!D324:F324,Final!$C$4:$C$330)),0)</f>
        <v>20687438</v>
      </c>
      <c r="I324" s="15">
        <f t="shared" ref="I324:I327" si="36">ROUND(H324*0.2,0)</f>
        <v>4137488</v>
      </c>
      <c r="J324" s="15">
        <f>ROUND(SUMPRODUCT(SUMIF(Final!$G$4:$G$330,CashReserveLevy!D324:F324,Final!$E$4:$E$330)),0)</f>
        <v>4673111</v>
      </c>
      <c r="K324" s="15">
        <f t="shared" ref="K324:K327" si="37">IF(I324&gt;J324,I324-J324,0)</f>
        <v>0</v>
      </c>
      <c r="L324" s="37">
        <f>INDEX(ActualCRLevy_SAS!$A$2:$D$326,MATCH(CashReserveLevy!$C324,ActualCRLevy_SAS!$B$2:$B$326,0),4)</f>
        <v>0</v>
      </c>
      <c r="M324" s="38" t="str">
        <f t="shared" ref="M324:M327" si="38">IF(AND(L324=K324,K324&gt;0),"Max","")</f>
        <v/>
      </c>
      <c r="N324" s="17" t="str">
        <f t="shared" ref="N324:N327" si="39">IF(AND(L324&lt;K324,L324=0),"No Levy but have Capacity","")</f>
        <v/>
      </c>
      <c r="O324" s="17" t="str">
        <f t="shared" si="35"/>
        <v/>
      </c>
      <c r="Q324" s="36">
        <f t="shared" ref="Q324:Q327" si="40">K324-L324</f>
        <v>0</v>
      </c>
      <c r="U324" s="37">
        <v>0</v>
      </c>
      <c r="V324" s="36">
        <f t="shared" ref="V324:V327" si="41">K324-U324</f>
        <v>0</v>
      </c>
    </row>
    <row r="325" spans="1:22" x14ac:dyDescent="0.2">
      <c r="A325" s="14">
        <v>2024</v>
      </c>
      <c r="B325" s="14" t="s">
        <v>8</v>
      </c>
      <c r="C325" s="14" t="s">
        <v>662</v>
      </c>
      <c r="D325" s="14" t="s">
        <v>688</v>
      </c>
      <c r="E325" s="14" t="s">
        <v>688</v>
      </c>
      <c r="F325" s="14" t="s">
        <v>662</v>
      </c>
      <c r="G325" s="14" t="s">
        <v>663</v>
      </c>
      <c r="H325" s="15">
        <f>ROUND(SUMPRODUCT(SUMIF(Final!$G$4:$G$330,CashReserveLevy!D325:F325,Final!$C$4:$C$330)),0)</f>
        <v>6368812</v>
      </c>
      <c r="I325" s="15">
        <f t="shared" si="36"/>
        <v>1273762</v>
      </c>
      <c r="J325" s="15">
        <f>ROUND(SUMPRODUCT(SUMIF(Final!$G$4:$G$330,CashReserveLevy!D325:F325,Final!$E$4:$E$330)),0)</f>
        <v>2363211</v>
      </c>
      <c r="K325" s="15">
        <f t="shared" si="37"/>
        <v>0</v>
      </c>
      <c r="L325" s="37">
        <f>INDEX(ActualCRLevy_SAS!$A$2:$D$326,MATCH(CashReserveLevy!$C325,ActualCRLevy_SAS!$B$2:$B$326,0),4)</f>
        <v>0</v>
      </c>
      <c r="M325" s="38" t="str">
        <f t="shared" si="38"/>
        <v/>
      </c>
      <c r="N325" s="17" t="str">
        <f t="shared" si="39"/>
        <v/>
      </c>
      <c r="O325" s="17" t="str">
        <f t="shared" si="35"/>
        <v/>
      </c>
      <c r="Q325" s="36">
        <f t="shared" si="40"/>
        <v>0</v>
      </c>
      <c r="U325" s="37">
        <v>0</v>
      </c>
      <c r="V325" s="36">
        <f t="shared" si="41"/>
        <v>0</v>
      </c>
    </row>
    <row r="326" spans="1:22" x14ac:dyDescent="0.2">
      <c r="A326" s="14">
        <v>2024</v>
      </c>
      <c r="B326" s="14" t="s">
        <v>11</v>
      </c>
      <c r="C326" s="14" t="s">
        <v>664</v>
      </c>
      <c r="D326" s="14" t="s">
        <v>688</v>
      </c>
      <c r="E326" s="14" t="s">
        <v>688</v>
      </c>
      <c r="F326" s="14" t="s">
        <v>664</v>
      </c>
      <c r="G326" s="14" t="s">
        <v>665</v>
      </c>
      <c r="H326" s="15">
        <f>ROUND(SUMPRODUCT(SUMIF(Final!$G$4:$G$330,CashReserveLevy!D326:F326,Final!$C$4:$C$330)),0)</f>
        <v>7813952</v>
      </c>
      <c r="I326" s="15">
        <f t="shared" si="36"/>
        <v>1562790</v>
      </c>
      <c r="J326" s="15">
        <f>ROUND(SUMPRODUCT(SUMIF(Final!$G$4:$G$330,CashReserveLevy!D326:F326,Final!$E$4:$E$330)),0)</f>
        <v>1228254</v>
      </c>
      <c r="K326" s="15">
        <f t="shared" si="37"/>
        <v>334536</v>
      </c>
      <c r="L326" s="37">
        <f>INDEX(ActualCRLevy_SAS!$A$2:$D$326,MATCH(CashReserveLevy!$C326,ActualCRLevy_SAS!$B$2:$B$326,0),4)</f>
        <v>195000</v>
      </c>
      <c r="M326" s="38" t="str">
        <f t="shared" si="38"/>
        <v/>
      </c>
      <c r="N326" s="17" t="str">
        <f t="shared" si="39"/>
        <v/>
      </c>
      <c r="O326" s="17" t="str">
        <f t="shared" si="35"/>
        <v/>
      </c>
      <c r="Q326" s="36">
        <f t="shared" si="40"/>
        <v>139536</v>
      </c>
      <c r="U326" s="37">
        <v>334536</v>
      </c>
      <c r="V326" s="36">
        <f t="shared" si="41"/>
        <v>0</v>
      </c>
    </row>
    <row r="327" spans="1:22" x14ac:dyDescent="0.2">
      <c r="A327" s="14">
        <v>2024</v>
      </c>
      <c r="B327" s="14" t="s">
        <v>0</v>
      </c>
      <c r="C327" s="14" t="s">
        <v>666</v>
      </c>
      <c r="D327" s="14" t="s">
        <v>688</v>
      </c>
      <c r="E327" s="14" t="s">
        <v>688</v>
      </c>
      <c r="F327" s="14" t="s">
        <v>666</v>
      </c>
      <c r="G327" s="14" t="s">
        <v>667</v>
      </c>
      <c r="H327" s="15">
        <f>ROUND(SUMPRODUCT(SUMIF(Final!$G$4:$G$330,CashReserveLevy!D327:F327,Final!$C$4:$C$330)),0)</f>
        <v>16694725</v>
      </c>
      <c r="I327" s="15">
        <f t="shared" si="36"/>
        <v>3338945</v>
      </c>
      <c r="J327" s="15">
        <f>ROUND(SUMPRODUCT(SUMIF(Final!$G$4:$G$330,CashReserveLevy!D327:F327,Final!$E$4:$E$330)),0)</f>
        <v>3166775</v>
      </c>
      <c r="K327" s="15">
        <f t="shared" si="37"/>
        <v>172170</v>
      </c>
      <c r="L327" s="37">
        <f>INDEX(ActualCRLevy_SAS!$A$2:$D$326,MATCH(CashReserveLevy!$C327,ActualCRLevy_SAS!$B$2:$B$326,0),4)</f>
        <v>172170</v>
      </c>
      <c r="M327" s="38" t="str">
        <f t="shared" si="38"/>
        <v>Max</v>
      </c>
      <c r="N327" s="17" t="str">
        <f t="shared" si="39"/>
        <v/>
      </c>
      <c r="O327" s="17" t="str">
        <f t="shared" si="35"/>
        <v/>
      </c>
      <c r="Q327" s="36">
        <f t="shared" si="40"/>
        <v>0</v>
      </c>
      <c r="U327" s="37">
        <v>172170</v>
      </c>
      <c r="V327" s="36">
        <f t="shared" si="41"/>
        <v>0</v>
      </c>
    </row>
    <row r="328" spans="1:22" ht="13.5" thickBot="1" x14ac:dyDescent="0.25">
      <c r="H328" s="13">
        <f>SUM(H3:H327)</f>
        <v>6676211041</v>
      </c>
      <c r="I328" s="13">
        <f>SUM(I3:I327)</f>
        <v>1335242211</v>
      </c>
      <c r="J328" s="13">
        <f>SUM(J3:J327)</f>
        <v>1359115787</v>
      </c>
      <c r="K328" s="13">
        <f>SUM(K3:K327)</f>
        <v>248818372</v>
      </c>
      <c r="L328" s="39">
        <f>SUM(L3:L327)</f>
        <v>165940551</v>
      </c>
    </row>
    <row r="329" spans="1:22" ht="13.5" thickTop="1" x14ac:dyDescent="0.2"/>
    <row r="331" spans="1:22" hidden="1" x14ac:dyDescent="0.2">
      <c r="H331" s="2">
        <f>Final!C331</f>
        <v>6676211035.21</v>
      </c>
      <c r="I331" s="2"/>
      <c r="J331" s="2">
        <f>Final!E331</f>
        <v>1359115779.4900005</v>
      </c>
    </row>
    <row r="332" spans="1:22" hidden="1" x14ac:dyDescent="0.2">
      <c r="H332" s="2">
        <f>H331-H328</f>
        <v>-5.7899999618530273</v>
      </c>
      <c r="I332" s="2"/>
      <c r="J332" s="2">
        <f>J331-J328</f>
        <v>-7.5099995136260986</v>
      </c>
    </row>
    <row r="334" spans="1:22" x14ac:dyDescent="0.2">
      <c r="K334" s="5" t="s">
        <v>684</v>
      </c>
      <c r="L334" s="40">
        <f>COUNTIF($K$3:$K$327,0)</f>
        <v>180</v>
      </c>
    </row>
    <row r="335" spans="1:22" x14ac:dyDescent="0.2">
      <c r="K335" s="5" t="s">
        <v>685</v>
      </c>
      <c r="L335" s="40">
        <f>COUNTIF($L$3:$L$327,"&gt;0")</f>
        <v>143</v>
      </c>
    </row>
    <row r="336" spans="1:22" x14ac:dyDescent="0.2">
      <c r="K336" s="5" t="s">
        <v>687</v>
      </c>
      <c r="L336" s="40">
        <f>COUNTIF($N$3:$N$327,"No Levy but have Capacity")</f>
        <v>2</v>
      </c>
    </row>
    <row r="337" spans="10:12" x14ac:dyDescent="0.2">
      <c r="K337" s="5" t="s">
        <v>686</v>
      </c>
      <c r="L337" s="40">
        <f>COUNTIF($M$3:$M$327,"Max")</f>
        <v>66</v>
      </c>
    </row>
    <row r="339" spans="10:12" ht="25.5" x14ac:dyDescent="0.2">
      <c r="J339" s="9" t="s">
        <v>690</v>
      </c>
      <c r="K339" s="10" t="s">
        <v>691</v>
      </c>
      <c r="L339" s="41" t="s">
        <v>692</v>
      </c>
    </row>
    <row r="340" spans="10:12" x14ac:dyDescent="0.2">
      <c r="J340" s="7">
        <v>2002</v>
      </c>
      <c r="K340" s="8">
        <v>68317829</v>
      </c>
      <c r="L340" s="42"/>
    </row>
    <row r="341" spans="10:12" x14ac:dyDescent="0.2">
      <c r="J341" s="7">
        <v>2003</v>
      </c>
      <c r="K341" s="8">
        <v>92775492</v>
      </c>
      <c r="L341" s="43">
        <f>(K341-K340)/K340</f>
        <v>0.35799824669487085</v>
      </c>
    </row>
    <row r="342" spans="10:12" x14ac:dyDescent="0.2">
      <c r="J342" s="7">
        <v>2004</v>
      </c>
      <c r="K342" s="8">
        <v>93735656</v>
      </c>
      <c r="L342" s="43">
        <f t="shared" ref="L342:L362" si="42">(K342-K341)/K341</f>
        <v>1.0349328031588343E-2</v>
      </c>
    </row>
    <row r="343" spans="10:12" x14ac:dyDescent="0.2">
      <c r="J343" s="7">
        <v>2005</v>
      </c>
      <c r="K343" s="8">
        <v>96591952</v>
      </c>
      <c r="L343" s="43">
        <f t="shared" si="42"/>
        <v>3.0471819602990776E-2</v>
      </c>
    </row>
    <row r="344" spans="10:12" x14ac:dyDescent="0.2">
      <c r="J344" s="7">
        <v>2006</v>
      </c>
      <c r="K344" s="8">
        <v>97853720</v>
      </c>
      <c r="L344" s="43">
        <f t="shared" si="42"/>
        <v>1.306286884025286E-2</v>
      </c>
    </row>
    <row r="345" spans="10:12" x14ac:dyDescent="0.2">
      <c r="J345" s="7">
        <v>2007</v>
      </c>
      <c r="K345" s="8">
        <v>119543594</v>
      </c>
      <c r="L345" s="43">
        <f t="shared" si="42"/>
        <v>0.22165610055499169</v>
      </c>
    </row>
    <row r="346" spans="10:12" x14ac:dyDescent="0.2">
      <c r="J346" s="7">
        <v>2008</v>
      </c>
      <c r="K346" s="8">
        <v>133598310</v>
      </c>
      <c r="L346" s="43">
        <f t="shared" si="42"/>
        <v>0.11756979633722574</v>
      </c>
    </row>
    <row r="347" spans="10:12" x14ac:dyDescent="0.2">
      <c r="J347" s="7">
        <v>2009</v>
      </c>
      <c r="K347" s="8">
        <v>154418943</v>
      </c>
      <c r="L347" s="43">
        <f t="shared" si="42"/>
        <v>0.15584503277024986</v>
      </c>
    </row>
    <row r="348" spans="10:12" x14ac:dyDescent="0.2">
      <c r="J348" s="7">
        <v>2010</v>
      </c>
      <c r="K348" s="8">
        <v>194327650</v>
      </c>
      <c r="L348" s="43">
        <f t="shared" si="42"/>
        <v>0.25844437362843498</v>
      </c>
    </row>
    <row r="349" spans="10:12" x14ac:dyDescent="0.2">
      <c r="J349" s="7">
        <v>2011</v>
      </c>
      <c r="K349" s="8">
        <v>298278645</v>
      </c>
      <c r="L349" s="43">
        <f t="shared" si="42"/>
        <v>0.53492642452064854</v>
      </c>
    </row>
    <row r="350" spans="10:12" x14ac:dyDescent="0.2">
      <c r="J350" s="7">
        <v>2012</v>
      </c>
      <c r="K350" s="8">
        <v>274120078</v>
      </c>
      <c r="L350" s="43">
        <f t="shared" si="42"/>
        <v>-8.099328398115796E-2</v>
      </c>
    </row>
    <row r="351" spans="10:12" x14ac:dyDescent="0.2">
      <c r="J351" s="7">
        <v>2013</v>
      </c>
      <c r="K351" s="8">
        <v>231935729</v>
      </c>
      <c r="L351" s="43">
        <f t="shared" si="42"/>
        <v>-0.15389003719749417</v>
      </c>
    </row>
    <row r="352" spans="10:12" x14ac:dyDescent="0.2">
      <c r="J352" s="7">
        <v>2014</v>
      </c>
      <c r="K352" s="8">
        <v>190880844</v>
      </c>
      <c r="L352" s="43">
        <f t="shared" si="42"/>
        <v>-0.17700974824797261</v>
      </c>
    </row>
    <row r="353" spans="10:12" x14ac:dyDescent="0.2">
      <c r="J353" s="7">
        <v>2015</v>
      </c>
      <c r="K353" s="8">
        <v>182986988</v>
      </c>
      <c r="L353" s="43">
        <f t="shared" si="42"/>
        <v>-4.1354888393096166E-2</v>
      </c>
    </row>
    <row r="354" spans="10:12" x14ac:dyDescent="0.2">
      <c r="J354" s="7">
        <v>2016</v>
      </c>
      <c r="K354" s="8">
        <v>208313187</v>
      </c>
      <c r="L354" s="43">
        <f t="shared" si="42"/>
        <v>0.13840437113484813</v>
      </c>
    </row>
    <row r="355" spans="10:12" x14ac:dyDescent="0.2">
      <c r="J355" s="7">
        <v>2017</v>
      </c>
      <c r="K355" s="8">
        <v>220376419</v>
      </c>
      <c r="L355" s="43">
        <f t="shared" si="42"/>
        <v>5.7909113550262181E-2</v>
      </c>
    </row>
    <row r="356" spans="10:12" x14ac:dyDescent="0.2">
      <c r="J356" s="7">
        <v>2018</v>
      </c>
      <c r="K356" s="8">
        <v>224656516</v>
      </c>
      <c r="L356" s="43">
        <f t="shared" si="42"/>
        <v>1.9421755827695883E-2</v>
      </c>
    </row>
    <row r="357" spans="10:12" x14ac:dyDescent="0.2">
      <c r="J357" s="7">
        <v>2019</v>
      </c>
      <c r="K357" s="8">
        <v>218411192</v>
      </c>
      <c r="L357" s="43">
        <f t="shared" si="42"/>
        <v>-2.7799434048020225E-2</v>
      </c>
    </row>
    <row r="358" spans="10:12" x14ac:dyDescent="0.2">
      <c r="J358" s="7">
        <v>2020</v>
      </c>
      <c r="K358" s="8">
        <v>229961645</v>
      </c>
      <c r="L358" s="43">
        <f t="shared" si="42"/>
        <v>5.2883979498633021E-2</v>
      </c>
    </row>
    <row r="359" spans="10:12" x14ac:dyDescent="0.2">
      <c r="J359" s="14">
        <v>2021</v>
      </c>
      <c r="K359" s="15">
        <v>225941109</v>
      </c>
      <c r="L359" s="43">
        <f t="shared" si="42"/>
        <v>-1.7483506869156375E-2</v>
      </c>
    </row>
    <row r="360" spans="10:12" x14ac:dyDescent="0.2">
      <c r="J360" s="14">
        <v>2022</v>
      </c>
      <c r="K360" s="15">
        <v>204983990</v>
      </c>
      <c r="L360" s="43">
        <f t="shared" si="42"/>
        <v>-9.2754785053303423E-2</v>
      </c>
    </row>
    <row r="361" spans="10:12" x14ac:dyDescent="0.2">
      <c r="J361" s="14">
        <v>2023</v>
      </c>
      <c r="K361" s="15">
        <v>191705908</v>
      </c>
      <c r="L361" s="43">
        <f t="shared" si="42"/>
        <v>-6.4776190569809863E-2</v>
      </c>
    </row>
    <row r="362" spans="10:12" x14ac:dyDescent="0.2">
      <c r="J362" s="14">
        <v>2024</v>
      </c>
      <c r="K362" s="15">
        <v>165940551</v>
      </c>
      <c r="L362" s="43">
        <f t="shared" si="42"/>
        <v>-0.13440043277122163</v>
      </c>
    </row>
  </sheetData>
  <mergeCells count="1">
    <mergeCell ref="C1:K1"/>
  </mergeCells>
  <conditionalFormatting sqref="Q3:Q327">
    <cfRule type="cellIs" dxfId="0" priority="1" operator="lessThan">
      <formula>0</formula>
    </cfRule>
  </conditionalFormatting>
  <pageMargins left="0.7" right="0.7" top="0.75" bottom="0.75" header="0.3" footer="0.3"/>
  <pageSetup scale="88" fitToHeight="0" orientation="landscape" r:id="rId1"/>
  <rowBreaks count="1" manualBreakCount="1">
    <brk id="323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1"/>
  <sheetViews>
    <sheetView showGridLines="0" workbookViewId="0">
      <pane xSplit="2" ySplit="3" topLeftCell="C303" activePane="bottomRight" state="frozen"/>
      <selection pane="topRight" activeCell="C1" sqref="C1"/>
      <selection pane="bottomLeft" activeCell="A5" sqref="A5"/>
      <selection pane="bottomRight" activeCell="C331" sqref="C331"/>
    </sheetView>
  </sheetViews>
  <sheetFormatPr defaultRowHeight="15" x14ac:dyDescent="0.25"/>
  <cols>
    <col min="1" max="1" width="13.7109375" bestFit="1" customWidth="1"/>
    <col min="2" max="2" width="49.140625" customWidth="1"/>
    <col min="3" max="3" width="15.42578125" bestFit="1" customWidth="1"/>
    <col min="4" max="4" width="19.85546875" bestFit="1" customWidth="1"/>
    <col min="5" max="5" width="20.7109375" bestFit="1" customWidth="1"/>
    <col min="6" max="6" width="17" bestFit="1" customWidth="1"/>
  </cols>
  <sheetData>
    <row r="1" spans="1:7" x14ac:dyDescent="0.25">
      <c r="A1" s="31" t="s">
        <v>1022</v>
      </c>
    </row>
    <row r="2" spans="1:7" ht="15.75" thickBot="1" x14ac:dyDescent="0.3">
      <c r="A2" s="30"/>
    </row>
    <row r="3" spans="1:7" ht="45" x14ac:dyDescent="0.25">
      <c r="A3" s="18" t="s">
        <v>1023</v>
      </c>
      <c r="B3" s="33" t="s">
        <v>674</v>
      </c>
      <c r="C3" s="33" t="s">
        <v>675</v>
      </c>
      <c r="D3" s="33" t="s">
        <v>676</v>
      </c>
      <c r="E3" s="19" t="s">
        <v>1024</v>
      </c>
      <c r="F3" s="34" t="s">
        <v>677</v>
      </c>
    </row>
    <row r="4" spans="1:7" x14ac:dyDescent="0.25">
      <c r="A4" s="20">
        <v>9</v>
      </c>
      <c r="B4" s="21" t="s">
        <v>696</v>
      </c>
      <c r="C4" s="22">
        <v>9940866.8300000001</v>
      </c>
      <c r="D4" s="22">
        <v>1692562.87</v>
      </c>
      <c r="E4" s="22">
        <v>1221374.06</v>
      </c>
      <c r="F4" s="23">
        <v>1752298.67</v>
      </c>
      <c r="G4" t="s">
        <v>6</v>
      </c>
    </row>
    <row r="5" spans="1:7" x14ac:dyDescent="0.25">
      <c r="A5" s="20">
        <v>18</v>
      </c>
      <c r="B5" s="21" t="s">
        <v>697</v>
      </c>
      <c r="C5" s="22">
        <v>4593649.24</v>
      </c>
      <c r="D5" s="22">
        <v>1307082.3600000001</v>
      </c>
      <c r="E5" s="22">
        <v>1435066.72</v>
      </c>
      <c r="F5" s="23">
        <v>1586394.91</v>
      </c>
      <c r="G5" t="s">
        <v>1</v>
      </c>
    </row>
    <row r="6" spans="1:7" x14ac:dyDescent="0.25">
      <c r="A6" s="20">
        <v>27</v>
      </c>
      <c r="B6" s="21" t="s">
        <v>698</v>
      </c>
      <c r="C6" s="22">
        <v>24295219.460000001</v>
      </c>
      <c r="D6" s="22">
        <v>3671226.19</v>
      </c>
      <c r="E6" s="22">
        <v>5188021.79</v>
      </c>
      <c r="F6" s="23">
        <v>5815698.4299999997</v>
      </c>
      <c r="G6" t="s">
        <v>3</v>
      </c>
    </row>
    <row r="7" spans="1:7" x14ac:dyDescent="0.25">
      <c r="A7" s="20">
        <v>63</v>
      </c>
      <c r="B7" s="21" t="s">
        <v>699</v>
      </c>
      <c r="C7" s="22">
        <v>8004280.8499999996</v>
      </c>
      <c r="D7" s="22">
        <v>1613684.38</v>
      </c>
      <c r="E7" s="22">
        <v>1785711.72</v>
      </c>
      <c r="F7" s="23">
        <v>2097711.7999999998</v>
      </c>
      <c r="G7" t="s">
        <v>12</v>
      </c>
    </row>
    <row r="8" spans="1:7" x14ac:dyDescent="0.25">
      <c r="A8" s="20">
        <v>72</v>
      </c>
      <c r="B8" s="21" t="s">
        <v>700</v>
      </c>
      <c r="C8" s="22">
        <v>2809844.1</v>
      </c>
      <c r="D8" s="22">
        <v>487922.24</v>
      </c>
      <c r="E8" s="22">
        <v>1134405.48</v>
      </c>
      <c r="F8" s="23">
        <v>1314319.04</v>
      </c>
      <c r="G8" t="s">
        <v>15</v>
      </c>
    </row>
    <row r="9" spans="1:7" x14ac:dyDescent="0.25">
      <c r="A9" s="20">
        <v>81</v>
      </c>
      <c r="B9" s="21" t="s">
        <v>701</v>
      </c>
      <c r="C9" s="22">
        <v>14271155.699999999</v>
      </c>
      <c r="D9" s="22">
        <v>1853512.32</v>
      </c>
      <c r="E9" s="22">
        <v>4071860.01</v>
      </c>
      <c r="F9" s="23">
        <v>4458548.5199999996</v>
      </c>
      <c r="G9" t="s">
        <v>18</v>
      </c>
    </row>
    <row r="10" spans="1:7" x14ac:dyDescent="0.25">
      <c r="A10" s="20">
        <v>99</v>
      </c>
      <c r="B10" s="21" t="s">
        <v>702</v>
      </c>
      <c r="C10" s="22">
        <v>8476602.7100000009</v>
      </c>
      <c r="D10" s="22">
        <v>2566129.06</v>
      </c>
      <c r="E10" s="22">
        <v>1952461.92</v>
      </c>
      <c r="F10" s="23">
        <v>2003283.3</v>
      </c>
      <c r="G10" t="s">
        <v>21</v>
      </c>
    </row>
    <row r="11" spans="1:7" x14ac:dyDescent="0.25">
      <c r="A11" s="20">
        <v>108</v>
      </c>
      <c r="B11" s="21" t="s">
        <v>703</v>
      </c>
      <c r="C11" s="22">
        <v>3876813.62</v>
      </c>
      <c r="D11" s="22">
        <v>663383.29</v>
      </c>
      <c r="E11" s="22">
        <v>127456.8</v>
      </c>
      <c r="F11" s="23">
        <v>258367.39</v>
      </c>
      <c r="G11" t="s">
        <v>23</v>
      </c>
    </row>
    <row r="12" spans="1:7" x14ac:dyDescent="0.25">
      <c r="A12" s="20">
        <v>126</v>
      </c>
      <c r="B12" s="21" t="s">
        <v>704</v>
      </c>
      <c r="C12" s="22">
        <v>20353072.460000001</v>
      </c>
      <c r="D12" s="22">
        <v>4375610.91</v>
      </c>
      <c r="E12" s="22">
        <v>2697748.5</v>
      </c>
      <c r="F12" s="23">
        <v>3199103.28</v>
      </c>
      <c r="G12" t="s">
        <v>25</v>
      </c>
    </row>
    <row r="13" spans="1:7" x14ac:dyDescent="0.25">
      <c r="A13" s="20">
        <v>135</v>
      </c>
      <c r="B13" s="21" t="s">
        <v>705</v>
      </c>
      <c r="C13" s="22">
        <v>14603161.98</v>
      </c>
      <c r="D13" s="22">
        <v>2488267.79</v>
      </c>
      <c r="E13" s="22">
        <v>3081423.88</v>
      </c>
      <c r="F13" s="23">
        <v>3830037.68</v>
      </c>
      <c r="G13" t="s">
        <v>29</v>
      </c>
    </row>
    <row r="14" spans="1:7" x14ac:dyDescent="0.25">
      <c r="A14" s="20">
        <v>153</v>
      </c>
      <c r="B14" s="21" t="s">
        <v>706</v>
      </c>
      <c r="C14" s="22">
        <v>8290295.8700000001</v>
      </c>
      <c r="D14" s="22">
        <v>1769662.26</v>
      </c>
      <c r="E14" s="22">
        <v>1385554.12</v>
      </c>
      <c r="F14" s="23">
        <v>1627013.05</v>
      </c>
      <c r="G14" t="s">
        <v>415</v>
      </c>
    </row>
    <row r="15" spans="1:7" x14ac:dyDescent="0.25">
      <c r="A15" s="20">
        <v>171</v>
      </c>
      <c r="B15" s="21" t="s">
        <v>707</v>
      </c>
      <c r="C15" s="22">
        <v>11385818.76</v>
      </c>
      <c r="D15" s="22">
        <v>1873321.44</v>
      </c>
      <c r="E15" s="22">
        <v>1634401.84</v>
      </c>
      <c r="F15" s="23">
        <v>2327576.61</v>
      </c>
      <c r="G15" t="s">
        <v>31</v>
      </c>
    </row>
    <row r="16" spans="1:7" x14ac:dyDescent="0.25">
      <c r="A16" s="20">
        <v>225</v>
      </c>
      <c r="B16" s="21" t="s">
        <v>708</v>
      </c>
      <c r="C16" s="22">
        <v>61294604.560000002</v>
      </c>
      <c r="D16" s="22">
        <v>10610804.859999999</v>
      </c>
      <c r="E16" s="22">
        <v>12577895.18</v>
      </c>
      <c r="F16" s="23">
        <v>14446282.17</v>
      </c>
      <c r="G16" t="s">
        <v>33</v>
      </c>
    </row>
    <row r="17" spans="1:7" x14ac:dyDescent="0.25">
      <c r="A17" s="20">
        <v>234</v>
      </c>
      <c r="B17" s="21" t="s">
        <v>709</v>
      </c>
      <c r="C17" s="22">
        <v>16741535.09</v>
      </c>
      <c r="D17" s="22">
        <v>3404206.94</v>
      </c>
      <c r="E17" s="22">
        <v>4432442.2300000004</v>
      </c>
      <c r="F17" s="23">
        <v>5225007.7699999996</v>
      </c>
      <c r="G17" t="s">
        <v>35</v>
      </c>
    </row>
    <row r="18" spans="1:7" x14ac:dyDescent="0.25">
      <c r="A18" s="20">
        <v>243</v>
      </c>
      <c r="B18" s="21" t="s">
        <v>710</v>
      </c>
      <c r="C18" s="22">
        <v>3748757.76</v>
      </c>
      <c r="D18" s="22">
        <v>825119.13</v>
      </c>
      <c r="E18" s="22">
        <v>538147.66</v>
      </c>
      <c r="F18" s="23">
        <v>693800.49</v>
      </c>
      <c r="G18" t="s">
        <v>38</v>
      </c>
    </row>
    <row r="19" spans="1:7" x14ac:dyDescent="0.25">
      <c r="A19" s="20">
        <v>261</v>
      </c>
      <c r="B19" s="21" t="s">
        <v>711</v>
      </c>
      <c r="C19" s="22">
        <v>148362662.22999999</v>
      </c>
      <c r="D19" s="22">
        <v>9029188.6799999997</v>
      </c>
      <c r="E19" s="22">
        <v>16727251.9</v>
      </c>
      <c r="F19" s="23">
        <v>24875396.890000001</v>
      </c>
      <c r="G19" t="s">
        <v>40</v>
      </c>
    </row>
    <row r="20" spans="1:7" x14ac:dyDescent="0.25">
      <c r="A20" s="20">
        <v>279</v>
      </c>
      <c r="B20" s="21" t="s">
        <v>712</v>
      </c>
      <c r="C20" s="22">
        <v>10125203.17</v>
      </c>
      <c r="D20" s="22">
        <v>1408127.85</v>
      </c>
      <c r="E20" s="22">
        <v>2610572.04</v>
      </c>
      <c r="F20" s="23">
        <v>2804081.43</v>
      </c>
      <c r="G20" t="s">
        <v>42</v>
      </c>
    </row>
    <row r="21" spans="1:7" x14ac:dyDescent="0.25">
      <c r="A21" s="20">
        <v>333</v>
      </c>
      <c r="B21" s="21" t="s">
        <v>713</v>
      </c>
      <c r="C21" s="22">
        <v>6337048.4000000004</v>
      </c>
      <c r="D21" s="22">
        <v>1641110.56</v>
      </c>
      <c r="E21" s="22">
        <v>1772769.91</v>
      </c>
      <c r="F21" s="23">
        <v>1930220.2</v>
      </c>
      <c r="G21" t="s">
        <v>435</v>
      </c>
    </row>
    <row r="22" spans="1:7" x14ac:dyDescent="0.25">
      <c r="A22" s="20">
        <v>355</v>
      </c>
      <c r="B22" s="21" t="s">
        <v>714</v>
      </c>
      <c r="C22" s="22">
        <v>3717536.95</v>
      </c>
      <c r="D22" s="22">
        <v>804050.88</v>
      </c>
      <c r="E22" s="22">
        <v>1925062.73</v>
      </c>
      <c r="F22" s="23">
        <v>2123307.2400000002</v>
      </c>
      <c r="G22" t="s">
        <v>44</v>
      </c>
    </row>
    <row r="23" spans="1:7" x14ac:dyDescent="0.25">
      <c r="A23" s="20">
        <v>387</v>
      </c>
      <c r="B23" s="21" t="s">
        <v>715</v>
      </c>
      <c r="C23" s="22">
        <v>18916816.41</v>
      </c>
      <c r="D23" s="22">
        <v>3472896.92</v>
      </c>
      <c r="E23" s="22">
        <v>3124645.17</v>
      </c>
      <c r="F23" s="23">
        <v>3858166.83</v>
      </c>
      <c r="G23" t="s">
        <v>46</v>
      </c>
    </row>
    <row r="24" spans="1:7" x14ac:dyDescent="0.25">
      <c r="A24" s="20">
        <v>414</v>
      </c>
      <c r="B24" s="21" t="s">
        <v>716</v>
      </c>
      <c r="C24" s="22">
        <v>7272864.6100000003</v>
      </c>
      <c r="D24" s="22">
        <v>1636971.09</v>
      </c>
      <c r="E24" s="22">
        <v>1314102.45</v>
      </c>
      <c r="F24" s="23">
        <v>1650121.52</v>
      </c>
      <c r="G24" t="s">
        <v>48</v>
      </c>
    </row>
    <row r="25" spans="1:7" x14ac:dyDescent="0.25">
      <c r="A25" s="20">
        <v>441</v>
      </c>
      <c r="B25" s="21" t="s">
        <v>717</v>
      </c>
      <c r="C25" s="22">
        <v>10025049.140000001</v>
      </c>
      <c r="D25" s="22">
        <v>1171384.19</v>
      </c>
      <c r="E25" s="22">
        <v>2869593.46</v>
      </c>
      <c r="F25" s="23">
        <v>2980005.24</v>
      </c>
      <c r="G25" t="s">
        <v>9</v>
      </c>
    </row>
    <row r="26" spans="1:7" x14ac:dyDescent="0.25">
      <c r="A26" s="20">
        <v>472</v>
      </c>
      <c r="B26" s="21" t="s">
        <v>718</v>
      </c>
      <c r="C26" s="22">
        <v>21737476.800000001</v>
      </c>
      <c r="D26" s="22">
        <v>2879500.71</v>
      </c>
      <c r="E26" s="22">
        <v>3088911.17</v>
      </c>
      <c r="F26" s="23">
        <v>3501237.39</v>
      </c>
      <c r="G26" t="s">
        <v>50</v>
      </c>
    </row>
    <row r="27" spans="1:7" x14ac:dyDescent="0.25">
      <c r="A27" s="20">
        <v>513</v>
      </c>
      <c r="B27" s="21" t="s">
        <v>719</v>
      </c>
      <c r="C27" s="22">
        <v>5668119.6900000004</v>
      </c>
      <c r="D27" s="22">
        <v>1400318.42</v>
      </c>
      <c r="E27" s="22">
        <v>92317.94</v>
      </c>
      <c r="F27" s="23">
        <v>174837.78</v>
      </c>
      <c r="G27" t="s">
        <v>52</v>
      </c>
    </row>
    <row r="28" spans="1:7" x14ac:dyDescent="0.25">
      <c r="A28" s="20">
        <v>540</v>
      </c>
      <c r="B28" s="21" t="s">
        <v>720</v>
      </c>
      <c r="C28" s="22">
        <v>7779281.4000000004</v>
      </c>
      <c r="D28" s="22">
        <v>1778313.21</v>
      </c>
      <c r="E28" s="22">
        <v>1725409.92</v>
      </c>
      <c r="F28" s="23">
        <v>1964180.5</v>
      </c>
      <c r="G28" t="s">
        <v>54</v>
      </c>
    </row>
    <row r="29" spans="1:7" x14ac:dyDescent="0.25">
      <c r="A29" s="20">
        <v>549</v>
      </c>
      <c r="B29" s="21" t="s">
        <v>721</v>
      </c>
      <c r="C29" s="22">
        <v>7114920.5599999996</v>
      </c>
      <c r="D29" s="22">
        <v>1587212.72</v>
      </c>
      <c r="E29" s="22">
        <v>1048773.06</v>
      </c>
      <c r="F29" s="23">
        <v>1162731.6399999999</v>
      </c>
      <c r="G29" t="s">
        <v>56</v>
      </c>
    </row>
    <row r="30" spans="1:7" x14ac:dyDescent="0.25">
      <c r="A30" s="20">
        <v>576</v>
      </c>
      <c r="B30" s="21" t="s">
        <v>722</v>
      </c>
      <c r="C30" s="22">
        <v>6413324.9000000004</v>
      </c>
      <c r="D30" s="22">
        <v>1228637.1499999999</v>
      </c>
      <c r="E30" s="22">
        <v>2622573.7599999998</v>
      </c>
      <c r="F30" s="23">
        <v>2669504</v>
      </c>
      <c r="G30" t="s">
        <v>58</v>
      </c>
    </row>
    <row r="31" spans="1:7" x14ac:dyDescent="0.25">
      <c r="A31" s="20">
        <v>585</v>
      </c>
      <c r="B31" s="21" t="s">
        <v>723</v>
      </c>
      <c r="C31" s="22">
        <v>8328788.6900000004</v>
      </c>
      <c r="D31" s="22">
        <v>1550202.25</v>
      </c>
      <c r="E31" s="22">
        <v>2022933.68</v>
      </c>
      <c r="F31" s="23">
        <v>2374471.41</v>
      </c>
      <c r="G31" t="s">
        <v>60</v>
      </c>
    </row>
    <row r="32" spans="1:7" x14ac:dyDescent="0.25">
      <c r="A32" s="20">
        <v>594</v>
      </c>
      <c r="B32" s="21" t="s">
        <v>724</v>
      </c>
      <c r="C32" s="22">
        <v>10429825.67</v>
      </c>
      <c r="D32" s="22">
        <v>1786172.19</v>
      </c>
      <c r="E32" s="22">
        <v>2015570.06</v>
      </c>
      <c r="F32" s="23">
        <v>2330209.38</v>
      </c>
      <c r="G32" t="s">
        <v>62</v>
      </c>
    </row>
    <row r="33" spans="1:7" x14ac:dyDescent="0.25">
      <c r="A33" s="20">
        <v>603</v>
      </c>
      <c r="B33" s="21" t="s">
        <v>725</v>
      </c>
      <c r="C33" s="22">
        <v>2302585.9500000002</v>
      </c>
      <c r="D33" s="22">
        <v>346789.79</v>
      </c>
      <c r="E33" s="22">
        <v>1116977.81</v>
      </c>
      <c r="F33" s="23">
        <v>1624302.34</v>
      </c>
      <c r="G33" t="s">
        <v>64</v>
      </c>
    </row>
    <row r="34" spans="1:7" x14ac:dyDescent="0.25">
      <c r="A34" s="20">
        <v>609</v>
      </c>
      <c r="B34" s="21" t="s">
        <v>726</v>
      </c>
      <c r="C34" s="22">
        <v>18795432.559999999</v>
      </c>
      <c r="D34" s="22">
        <v>3258958.76</v>
      </c>
      <c r="E34" s="22">
        <v>5644544.1699999999</v>
      </c>
      <c r="F34" s="23">
        <v>6303651.2400000002</v>
      </c>
      <c r="G34" t="s">
        <v>66</v>
      </c>
    </row>
    <row r="35" spans="1:7" x14ac:dyDescent="0.25">
      <c r="A35" s="20">
        <v>621</v>
      </c>
      <c r="B35" s="21" t="s">
        <v>727</v>
      </c>
      <c r="C35" s="22">
        <v>55643395.770000003</v>
      </c>
      <c r="D35" s="22">
        <v>11108659</v>
      </c>
      <c r="E35" s="22">
        <v>10462548.34</v>
      </c>
      <c r="F35" s="23">
        <v>12101274.66</v>
      </c>
      <c r="G35" t="s">
        <v>68</v>
      </c>
    </row>
    <row r="36" spans="1:7" x14ac:dyDescent="0.25">
      <c r="A36" s="20">
        <v>657</v>
      </c>
      <c r="B36" s="21" t="s">
        <v>728</v>
      </c>
      <c r="C36" s="22">
        <v>12692694.26</v>
      </c>
      <c r="D36" s="22">
        <v>4319573.7</v>
      </c>
      <c r="E36" s="22">
        <v>5555062.4299999997</v>
      </c>
      <c r="F36" s="23">
        <v>6376257.5800000001</v>
      </c>
      <c r="G36" t="s">
        <v>211</v>
      </c>
    </row>
    <row r="37" spans="1:7" x14ac:dyDescent="0.25">
      <c r="A37" s="20">
        <v>720</v>
      </c>
      <c r="B37" s="21" t="s">
        <v>729</v>
      </c>
      <c r="C37" s="22">
        <v>27377188.77</v>
      </c>
      <c r="D37" s="22">
        <v>3608375.41</v>
      </c>
      <c r="E37" s="22">
        <v>4921076.59</v>
      </c>
      <c r="F37" s="23">
        <v>7892643.6500000004</v>
      </c>
      <c r="G37" t="s">
        <v>70</v>
      </c>
    </row>
    <row r="38" spans="1:7" x14ac:dyDescent="0.25">
      <c r="A38" s="20">
        <v>729</v>
      </c>
      <c r="B38" s="21" t="s">
        <v>730</v>
      </c>
      <c r="C38" s="22">
        <v>27702498.960000001</v>
      </c>
      <c r="D38" s="22">
        <v>5051611.63</v>
      </c>
      <c r="E38" s="22">
        <v>6541658.0999999996</v>
      </c>
      <c r="F38" s="23">
        <v>7547658.9800000004</v>
      </c>
      <c r="G38" t="s">
        <v>72</v>
      </c>
    </row>
    <row r="39" spans="1:7" x14ac:dyDescent="0.25">
      <c r="A39" s="20">
        <v>747</v>
      </c>
      <c r="B39" s="21" t="s">
        <v>731</v>
      </c>
      <c r="C39" s="22">
        <v>8228314.4199999999</v>
      </c>
      <c r="D39" s="22">
        <v>1502172.07</v>
      </c>
      <c r="E39" s="22">
        <v>1355399.98</v>
      </c>
      <c r="F39" s="23">
        <v>2019038.97</v>
      </c>
      <c r="G39" t="s">
        <v>74</v>
      </c>
    </row>
    <row r="40" spans="1:7" x14ac:dyDescent="0.25">
      <c r="A40" s="20">
        <v>819</v>
      </c>
      <c r="B40" s="21" t="s">
        <v>732</v>
      </c>
      <c r="C40" s="22">
        <v>7456397.46</v>
      </c>
      <c r="D40" s="22">
        <v>1350442.86</v>
      </c>
      <c r="E40" s="22">
        <v>1654986.2</v>
      </c>
      <c r="F40" s="23">
        <v>2015084.78</v>
      </c>
      <c r="G40" t="s">
        <v>634</v>
      </c>
    </row>
    <row r="41" spans="1:7" x14ac:dyDescent="0.25">
      <c r="A41" s="20">
        <v>846</v>
      </c>
      <c r="B41" s="21" t="s">
        <v>733</v>
      </c>
      <c r="C41" s="22">
        <v>7126915.5199999996</v>
      </c>
      <c r="D41" s="22">
        <v>1494466.97</v>
      </c>
      <c r="E41" s="22">
        <v>2407113.35</v>
      </c>
      <c r="F41" s="23">
        <v>2997467.96</v>
      </c>
      <c r="G41" t="s">
        <v>78</v>
      </c>
    </row>
    <row r="42" spans="1:7" x14ac:dyDescent="0.25">
      <c r="A42" s="20">
        <v>873</v>
      </c>
      <c r="B42" s="21" t="s">
        <v>734</v>
      </c>
      <c r="C42" s="22">
        <v>6867142.9699999997</v>
      </c>
      <c r="D42" s="22">
        <v>1855942.78</v>
      </c>
      <c r="E42" s="22">
        <v>1770483.54</v>
      </c>
      <c r="F42" s="23">
        <v>2087845.71</v>
      </c>
      <c r="G42" t="s">
        <v>421</v>
      </c>
    </row>
    <row r="43" spans="1:7" x14ac:dyDescent="0.25">
      <c r="A43" s="20">
        <v>882</v>
      </c>
      <c r="B43" s="21" t="s">
        <v>735</v>
      </c>
      <c r="C43" s="22">
        <v>53733039.829999998</v>
      </c>
      <c r="D43" s="22">
        <v>10405354.66</v>
      </c>
      <c r="E43" s="22">
        <v>13837756.699999999</v>
      </c>
      <c r="F43" s="23">
        <v>15243138.67</v>
      </c>
      <c r="G43" t="s">
        <v>80</v>
      </c>
    </row>
    <row r="44" spans="1:7" x14ac:dyDescent="0.25">
      <c r="A44" s="20">
        <v>914</v>
      </c>
      <c r="B44" s="21" t="s">
        <v>736</v>
      </c>
      <c r="C44" s="22">
        <v>11784856.42</v>
      </c>
      <c r="D44" s="22">
        <v>6487541.21</v>
      </c>
      <c r="E44" s="22">
        <v>2394026.79</v>
      </c>
      <c r="F44" s="23">
        <v>3095320.67</v>
      </c>
      <c r="G44" t="s">
        <v>86</v>
      </c>
    </row>
    <row r="45" spans="1:7" x14ac:dyDescent="0.25">
      <c r="A45" s="20">
        <v>916</v>
      </c>
      <c r="B45" s="21" t="s">
        <v>737</v>
      </c>
      <c r="C45" s="22">
        <v>3739873.02</v>
      </c>
      <c r="D45" s="22">
        <v>662913.64</v>
      </c>
      <c r="E45" s="22">
        <v>908895.68</v>
      </c>
      <c r="F45" s="23">
        <v>996707.64</v>
      </c>
      <c r="G45" t="s">
        <v>82</v>
      </c>
    </row>
    <row r="46" spans="1:7" x14ac:dyDescent="0.25">
      <c r="A46" s="20">
        <v>918</v>
      </c>
      <c r="B46" s="21" t="s">
        <v>738</v>
      </c>
      <c r="C46" s="22">
        <v>5843653.3300000001</v>
      </c>
      <c r="D46" s="22">
        <v>1233701.47</v>
      </c>
      <c r="E46" s="22">
        <v>1008662.73</v>
      </c>
      <c r="F46" s="23">
        <v>1261524.1599999999</v>
      </c>
      <c r="G46" t="s">
        <v>84</v>
      </c>
    </row>
    <row r="47" spans="1:7" x14ac:dyDescent="0.25">
      <c r="A47" s="20">
        <v>936</v>
      </c>
      <c r="B47" s="21" t="s">
        <v>739</v>
      </c>
      <c r="C47" s="22">
        <v>12855556.25</v>
      </c>
      <c r="D47" s="22">
        <v>2713418.2</v>
      </c>
      <c r="E47" s="22">
        <v>17189.66</v>
      </c>
      <c r="F47" s="23">
        <v>441354.98</v>
      </c>
      <c r="G47" t="s">
        <v>88</v>
      </c>
    </row>
    <row r="48" spans="1:7" x14ac:dyDescent="0.25">
      <c r="A48" s="20">
        <v>977</v>
      </c>
      <c r="B48" s="21" t="s">
        <v>740</v>
      </c>
      <c r="C48" s="22">
        <v>12144003.189999999</v>
      </c>
      <c r="D48" s="22">
        <v>5709813.25</v>
      </c>
      <c r="E48" s="22">
        <v>2741609.98</v>
      </c>
      <c r="F48" s="23">
        <v>2892673.53</v>
      </c>
      <c r="G48" t="s">
        <v>90</v>
      </c>
    </row>
    <row r="49" spans="1:7" x14ac:dyDescent="0.25">
      <c r="A49" s="20">
        <v>981</v>
      </c>
      <c r="B49" s="21" t="s">
        <v>741</v>
      </c>
      <c r="C49" s="22">
        <v>24561561.550000001</v>
      </c>
      <c r="D49" s="22">
        <v>4801464.96</v>
      </c>
      <c r="E49" s="22">
        <v>7843595.25</v>
      </c>
      <c r="F49" s="23">
        <v>9536815.1699999999</v>
      </c>
      <c r="G49" t="s">
        <v>92</v>
      </c>
    </row>
    <row r="50" spans="1:7" x14ac:dyDescent="0.25">
      <c r="A50" s="20">
        <v>999</v>
      </c>
      <c r="B50" s="21" t="s">
        <v>742</v>
      </c>
      <c r="C50" s="22">
        <v>22918593.350000001</v>
      </c>
      <c r="D50" s="22">
        <v>4468720.28</v>
      </c>
      <c r="E50" s="22">
        <v>7250065.3899999997</v>
      </c>
      <c r="F50" s="23">
        <v>8668271.5500000007</v>
      </c>
      <c r="G50" t="s">
        <v>94</v>
      </c>
    </row>
    <row r="51" spans="1:7" x14ac:dyDescent="0.25">
      <c r="A51" s="20">
        <v>1044</v>
      </c>
      <c r="B51" s="21" t="s">
        <v>743</v>
      </c>
      <c r="C51" s="22">
        <v>68003381.400000006</v>
      </c>
      <c r="D51" s="22">
        <v>8787290.0899999999</v>
      </c>
      <c r="E51" s="22">
        <v>7349906.9800000004</v>
      </c>
      <c r="F51" s="23">
        <v>8557753.2100000009</v>
      </c>
      <c r="G51" t="s">
        <v>96</v>
      </c>
    </row>
    <row r="52" spans="1:7" x14ac:dyDescent="0.25">
      <c r="A52" s="20">
        <v>1053</v>
      </c>
      <c r="B52" s="21" t="s">
        <v>744</v>
      </c>
      <c r="C52" s="22">
        <v>229040648.72</v>
      </c>
      <c r="D52" s="22">
        <v>38648669.950000003</v>
      </c>
      <c r="E52" s="22">
        <v>35754138.789999999</v>
      </c>
      <c r="F52" s="23">
        <v>39573547.299999997</v>
      </c>
      <c r="G52" t="s">
        <v>98</v>
      </c>
    </row>
    <row r="53" spans="1:7" x14ac:dyDescent="0.25">
      <c r="A53" s="20">
        <v>1062</v>
      </c>
      <c r="B53" s="21" t="s">
        <v>745</v>
      </c>
      <c r="C53" s="22">
        <v>16727105.939999999</v>
      </c>
      <c r="D53" s="22">
        <v>3190855.36</v>
      </c>
      <c r="E53" s="22">
        <v>5460230.29</v>
      </c>
      <c r="F53" s="23">
        <v>6168675.0199999996</v>
      </c>
      <c r="G53" t="s">
        <v>100</v>
      </c>
    </row>
    <row r="54" spans="1:7" x14ac:dyDescent="0.25">
      <c r="A54" s="20">
        <v>1071</v>
      </c>
      <c r="B54" s="21" t="s">
        <v>746</v>
      </c>
      <c r="C54" s="22">
        <v>18697884.579999998</v>
      </c>
      <c r="D54" s="22">
        <v>3930742.89</v>
      </c>
      <c r="E54" s="22">
        <v>4099350.96</v>
      </c>
      <c r="F54" s="23">
        <v>4812615.3</v>
      </c>
      <c r="G54" t="s">
        <v>102</v>
      </c>
    </row>
    <row r="55" spans="1:7" x14ac:dyDescent="0.25">
      <c r="A55" s="20">
        <v>1079</v>
      </c>
      <c r="B55" s="21" t="s">
        <v>747</v>
      </c>
      <c r="C55" s="22">
        <v>12632855.5</v>
      </c>
      <c r="D55" s="22">
        <v>4460135.1500000004</v>
      </c>
      <c r="E55" s="22">
        <v>2962603.61</v>
      </c>
      <c r="F55" s="23">
        <v>3543901.64</v>
      </c>
      <c r="G55" t="s">
        <v>112</v>
      </c>
    </row>
    <row r="56" spans="1:7" x14ac:dyDescent="0.25">
      <c r="A56" s="20">
        <v>1080</v>
      </c>
      <c r="B56" s="21" t="s">
        <v>748</v>
      </c>
      <c r="C56" s="22">
        <v>6390327.6900000004</v>
      </c>
      <c r="D56" s="22">
        <v>1522856.04</v>
      </c>
      <c r="E56" s="22">
        <v>1019544.51</v>
      </c>
      <c r="F56" s="23">
        <v>1302989.99</v>
      </c>
      <c r="G56" t="s">
        <v>106</v>
      </c>
    </row>
    <row r="57" spans="1:7" x14ac:dyDescent="0.25">
      <c r="A57" s="20">
        <v>1082</v>
      </c>
      <c r="B57" s="21" t="s">
        <v>749</v>
      </c>
      <c r="C57" s="22">
        <v>19860907.670000002</v>
      </c>
      <c r="D57" s="22">
        <v>3522419.84</v>
      </c>
      <c r="E57" s="22">
        <v>2687839.65</v>
      </c>
      <c r="F57" s="23">
        <v>2880140.01</v>
      </c>
      <c r="G57" t="s">
        <v>108</v>
      </c>
    </row>
    <row r="58" spans="1:7" x14ac:dyDescent="0.25">
      <c r="A58" s="20">
        <v>1089</v>
      </c>
      <c r="B58" s="21" t="s">
        <v>750</v>
      </c>
      <c r="C58" s="22">
        <v>6149550.3099999996</v>
      </c>
      <c r="D58" s="22">
        <v>1191230.96</v>
      </c>
      <c r="E58" s="22">
        <v>1701206.91</v>
      </c>
      <c r="F58" s="23">
        <v>2666896.21</v>
      </c>
      <c r="G58" t="s">
        <v>104</v>
      </c>
    </row>
    <row r="59" spans="1:7" x14ac:dyDescent="0.25">
      <c r="A59" s="20">
        <v>1093</v>
      </c>
      <c r="B59" s="21" t="s">
        <v>751</v>
      </c>
      <c r="C59" s="22">
        <v>9295352.5099999998</v>
      </c>
      <c r="D59" s="22">
        <v>2290587.85</v>
      </c>
      <c r="E59" s="22">
        <v>2493221.86</v>
      </c>
      <c r="F59" s="23">
        <v>2941732.72</v>
      </c>
      <c r="G59" t="s">
        <v>110</v>
      </c>
    </row>
    <row r="60" spans="1:7" x14ac:dyDescent="0.25">
      <c r="A60" s="20">
        <v>1095</v>
      </c>
      <c r="B60" s="21" t="s">
        <v>752</v>
      </c>
      <c r="C60" s="22">
        <v>9746299.6799999997</v>
      </c>
      <c r="D60" s="22">
        <v>1767423.43</v>
      </c>
      <c r="E60" s="22">
        <v>2615823.98</v>
      </c>
      <c r="F60" s="23">
        <v>2880743.98</v>
      </c>
      <c r="G60" t="s">
        <v>114</v>
      </c>
    </row>
    <row r="61" spans="1:7" x14ac:dyDescent="0.25">
      <c r="A61" s="20">
        <v>1107</v>
      </c>
      <c r="B61" s="21" t="s">
        <v>753</v>
      </c>
      <c r="C61" s="22">
        <v>16001378.869999999</v>
      </c>
      <c r="D61" s="22">
        <v>2075505.78</v>
      </c>
      <c r="E61" s="22">
        <v>2177406.09</v>
      </c>
      <c r="F61" s="23">
        <v>2643074.67</v>
      </c>
      <c r="G61" t="s">
        <v>118</v>
      </c>
    </row>
    <row r="62" spans="1:7" x14ac:dyDescent="0.25">
      <c r="A62" s="20">
        <v>1116</v>
      </c>
      <c r="B62" s="21" t="s">
        <v>754</v>
      </c>
      <c r="C62" s="22">
        <v>22558103.800000001</v>
      </c>
      <c r="D62" s="22">
        <v>4761675.2699999996</v>
      </c>
      <c r="E62" s="22">
        <v>2641302.65</v>
      </c>
      <c r="F62" s="23">
        <v>3514300.73</v>
      </c>
      <c r="G62" t="s">
        <v>120</v>
      </c>
    </row>
    <row r="63" spans="1:7" x14ac:dyDescent="0.25">
      <c r="A63" s="20">
        <v>1134</v>
      </c>
      <c r="B63" s="21" t="s">
        <v>755</v>
      </c>
      <c r="C63" s="22">
        <v>3652432.97</v>
      </c>
      <c r="D63" s="22">
        <v>693145.23</v>
      </c>
      <c r="E63" s="22">
        <v>1445813.77</v>
      </c>
      <c r="F63" s="23">
        <v>1507260.55</v>
      </c>
      <c r="G63" t="s">
        <v>122</v>
      </c>
    </row>
    <row r="64" spans="1:7" x14ac:dyDescent="0.25">
      <c r="A64" s="20">
        <v>1152</v>
      </c>
      <c r="B64" s="21" t="s">
        <v>756</v>
      </c>
      <c r="C64" s="22">
        <v>13377441.25</v>
      </c>
      <c r="D64" s="22">
        <v>2460084.08</v>
      </c>
      <c r="E64" s="22">
        <v>2879442.79</v>
      </c>
      <c r="F64" s="23">
        <v>3116013.64</v>
      </c>
      <c r="G64" t="s">
        <v>124</v>
      </c>
    </row>
    <row r="65" spans="1:7" x14ac:dyDescent="0.25">
      <c r="A65" s="20">
        <v>1197</v>
      </c>
      <c r="B65" s="21" t="s">
        <v>757</v>
      </c>
      <c r="C65" s="22">
        <v>12694280.92</v>
      </c>
      <c r="D65" s="22">
        <v>2545248.33</v>
      </c>
      <c r="E65" s="22">
        <v>2733408.6</v>
      </c>
      <c r="F65" s="23">
        <v>3195800.67</v>
      </c>
      <c r="G65" t="s">
        <v>126</v>
      </c>
    </row>
    <row r="66" spans="1:7" x14ac:dyDescent="0.25">
      <c r="A66" s="20">
        <v>1206</v>
      </c>
      <c r="B66" s="21" t="s">
        <v>758</v>
      </c>
      <c r="C66" s="22">
        <v>14308808.4</v>
      </c>
      <c r="D66" s="22">
        <v>2149702.7200000002</v>
      </c>
      <c r="E66" s="22">
        <v>893256.02</v>
      </c>
      <c r="F66" s="23">
        <v>1867856.52</v>
      </c>
      <c r="G66" t="s">
        <v>128</v>
      </c>
    </row>
    <row r="67" spans="1:7" x14ac:dyDescent="0.25">
      <c r="A67" s="20">
        <v>1211</v>
      </c>
      <c r="B67" s="21" t="s">
        <v>759</v>
      </c>
      <c r="C67" s="22">
        <v>18287515.09</v>
      </c>
      <c r="D67" s="22">
        <v>2601725.16</v>
      </c>
      <c r="E67" s="22">
        <v>504151.12</v>
      </c>
      <c r="F67" s="23">
        <v>1076943.1100000001</v>
      </c>
      <c r="G67" t="s">
        <v>131</v>
      </c>
    </row>
    <row r="68" spans="1:7" x14ac:dyDescent="0.25">
      <c r="A68" s="20">
        <v>1215</v>
      </c>
      <c r="B68" s="21" t="s">
        <v>760</v>
      </c>
      <c r="C68" s="22">
        <v>4228077.04</v>
      </c>
      <c r="D68" s="22">
        <v>874694</v>
      </c>
      <c r="E68" s="22">
        <v>960661.01</v>
      </c>
      <c r="F68" s="23">
        <v>1015019.84</v>
      </c>
      <c r="G68" t="s">
        <v>133</v>
      </c>
    </row>
    <row r="69" spans="1:7" x14ac:dyDescent="0.25">
      <c r="A69" s="20">
        <v>1218</v>
      </c>
      <c r="B69" s="21" t="s">
        <v>761</v>
      </c>
      <c r="C69" s="22">
        <v>3992568.31</v>
      </c>
      <c r="D69" s="22">
        <v>623465.21</v>
      </c>
      <c r="E69" s="22">
        <v>1379300.86</v>
      </c>
      <c r="F69" s="23">
        <v>1613508.05</v>
      </c>
      <c r="G69" t="s">
        <v>135</v>
      </c>
    </row>
    <row r="70" spans="1:7" x14ac:dyDescent="0.25">
      <c r="A70" s="20">
        <v>1221</v>
      </c>
      <c r="B70" s="21" t="s">
        <v>762</v>
      </c>
      <c r="C70" s="22">
        <v>37470437.829999998</v>
      </c>
      <c r="D70" s="22">
        <v>5310751.8</v>
      </c>
      <c r="E70" s="24">
        <v>-909135.58</v>
      </c>
      <c r="F70" s="25">
        <v>-283864.05</v>
      </c>
      <c r="G70" t="s">
        <v>139</v>
      </c>
    </row>
    <row r="71" spans="1:7" x14ac:dyDescent="0.25">
      <c r="A71" s="20">
        <v>1233</v>
      </c>
      <c r="B71" s="21" t="s">
        <v>763</v>
      </c>
      <c r="C71" s="22">
        <v>17352832.609999999</v>
      </c>
      <c r="D71" s="22">
        <v>4010130.62</v>
      </c>
      <c r="E71" s="22">
        <v>4677477.8499999996</v>
      </c>
      <c r="F71" s="23">
        <v>5109404.83</v>
      </c>
      <c r="G71" t="s">
        <v>142</v>
      </c>
    </row>
    <row r="72" spans="1:7" x14ac:dyDescent="0.25">
      <c r="A72" s="20">
        <v>1278</v>
      </c>
      <c r="B72" s="21" t="s">
        <v>764</v>
      </c>
      <c r="C72" s="22">
        <v>49310051.770000003</v>
      </c>
      <c r="D72" s="22">
        <v>7268837.8099999996</v>
      </c>
      <c r="E72" s="22">
        <v>12196354.26</v>
      </c>
      <c r="F72" s="23">
        <v>12993678.01</v>
      </c>
      <c r="G72" t="s">
        <v>144</v>
      </c>
    </row>
    <row r="73" spans="1:7" x14ac:dyDescent="0.25">
      <c r="A73" s="20">
        <v>1332</v>
      </c>
      <c r="B73" s="21" t="s">
        <v>765</v>
      </c>
      <c r="C73" s="22">
        <v>10365806.68</v>
      </c>
      <c r="D73" s="22">
        <v>1814203.69</v>
      </c>
      <c r="E73" s="22">
        <v>1293951.3999999999</v>
      </c>
      <c r="F73" s="23">
        <v>1924737.81</v>
      </c>
      <c r="G73" t="s">
        <v>146</v>
      </c>
    </row>
    <row r="74" spans="1:7" x14ac:dyDescent="0.25">
      <c r="A74" s="20">
        <v>1337</v>
      </c>
      <c r="B74" s="21" t="s">
        <v>766</v>
      </c>
      <c r="C74" s="22">
        <v>69631304.019999996</v>
      </c>
      <c r="D74" s="22">
        <v>12197350.77</v>
      </c>
      <c r="E74" s="22">
        <v>13147650.4</v>
      </c>
      <c r="F74" s="23">
        <v>13912980.02</v>
      </c>
      <c r="G74" t="s">
        <v>148</v>
      </c>
    </row>
    <row r="75" spans="1:7" x14ac:dyDescent="0.25">
      <c r="A75" s="20">
        <v>1350</v>
      </c>
      <c r="B75" s="21" t="s">
        <v>767</v>
      </c>
      <c r="C75" s="22">
        <v>6112293.04</v>
      </c>
      <c r="D75" s="22">
        <v>2635206.09</v>
      </c>
      <c r="E75" s="22">
        <v>2298466.63</v>
      </c>
      <c r="F75" s="23">
        <v>2592680.29</v>
      </c>
      <c r="G75" t="s">
        <v>150</v>
      </c>
    </row>
    <row r="76" spans="1:7" x14ac:dyDescent="0.25">
      <c r="A76" s="20">
        <v>1359</v>
      </c>
      <c r="B76" s="21" t="s">
        <v>768</v>
      </c>
      <c r="C76" s="22">
        <v>6342918.8099999996</v>
      </c>
      <c r="D76" s="22">
        <v>900154.03</v>
      </c>
      <c r="E76" s="22">
        <v>578099.5</v>
      </c>
      <c r="F76" s="23">
        <v>749929.26</v>
      </c>
      <c r="G76" t="s">
        <v>152</v>
      </c>
    </row>
    <row r="77" spans="1:7" x14ac:dyDescent="0.25">
      <c r="A77" s="20">
        <v>1368</v>
      </c>
      <c r="B77" s="21" t="s">
        <v>769</v>
      </c>
      <c r="C77" s="22">
        <v>9396307.2899999991</v>
      </c>
      <c r="D77" s="22">
        <v>1484965.21</v>
      </c>
      <c r="E77" s="22">
        <v>4529087.03</v>
      </c>
      <c r="F77" s="23">
        <v>5015171.18</v>
      </c>
      <c r="G77" t="s">
        <v>154</v>
      </c>
    </row>
    <row r="78" spans="1:7" x14ac:dyDescent="0.25">
      <c r="A78" s="20">
        <v>1413</v>
      </c>
      <c r="B78" s="21" t="s">
        <v>770</v>
      </c>
      <c r="C78" s="22">
        <v>5915095.9500000002</v>
      </c>
      <c r="D78" s="22">
        <v>906167.08</v>
      </c>
      <c r="E78" s="22">
        <v>1991907.8</v>
      </c>
      <c r="F78" s="23">
        <v>2232001.9700000002</v>
      </c>
      <c r="G78" t="s">
        <v>156</v>
      </c>
    </row>
    <row r="79" spans="1:7" x14ac:dyDescent="0.25">
      <c r="A79" s="20">
        <v>1431</v>
      </c>
      <c r="B79" s="21" t="s">
        <v>771</v>
      </c>
      <c r="C79" s="22">
        <v>6982418.96</v>
      </c>
      <c r="D79" s="22">
        <v>1936459.99</v>
      </c>
      <c r="E79" s="22">
        <v>1929198.29</v>
      </c>
      <c r="F79" s="23">
        <v>1947387.27</v>
      </c>
      <c r="G79" t="s">
        <v>158</v>
      </c>
    </row>
    <row r="80" spans="1:7" x14ac:dyDescent="0.25">
      <c r="A80" s="20">
        <v>1476</v>
      </c>
      <c r="B80" s="21" t="s">
        <v>772</v>
      </c>
      <c r="C80" s="22">
        <v>136146159.78999999</v>
      </c>
      <c r="D80" s="22">
        <v>27226066.460000001</v>
      </c>
      <c r="E80" s="22">
        <v>14417953.050000001</v>
      </c>
      <c r="F80" s="23">
        <v>17820914.449999999</v>
      </c>
      <c r="G80" t="s">
        <v>160</v>
      </c>
    </row>
    <row r="81" spans="1:7" x14ac:dyDescent="0.25">
      <c r="A81" s="20">
        <v>1503</v>
      </c>
      <c r="B81" s="21" t="s">
        <v>773</v>
      </c>
      <c r="C81" s="22">
        <v>19399770.100000001</v>
      </c>
      <c r="D81" s="22">
        <v>4239204.13</v>
      </c>
      <c r="E81" s="22">
        <v>3719578.95</v>
      </c>
      <c r="F81" s="23">
        <v>4103480.6</v>
      </c>
      <c r="G81" t="s">
        <v>162</v>
      </c>
    </row>
    <row r="82" spans="1:7" x14ac:dyDescent="0.25">
      <c r="A82" s="20">
        <v>1576</v>
      </c>
      <c r="B82" s="21" t="s">
        <v>774</v>
      </c>
      <c r="C82" s="22">
        <v>40756793.68</v>
      </c>
      <c r="D82" s="22">
        <v>4720299.24</v>
      </c>
      <c r="E82" s="22">
        <v>5632047.71</v>
      </c>
      <c r="F82" s="23">
        <v>6568180.8300000001</v>
      </c>
      <c r="G82" t="s">
        <v>164</v>
      </c>
    </row>
    <row r="83" spans="1:7" x14ac:dyDescent="0.25">
      <c r="A83" s="20">
        <v>1602</v>
      </c>
      <c r="B83" s="21" t="s">
        <v>775</v>
      </c>
      <c r="C83" s="22">
        <v>7883959.9500000002</v>
      </c>
      <c r="D83" s="22">
        <v>2781323.87</v>
      </c>
      <c r="E83" s="22">
        <v>1895974.25</v>
      </c>
      <c r="F83" s="23">
        <v>2628281.73</v>
      </c>
      <c r="G83" t="s">
        <v>166</v>
      </c>
    </row>
    <row r="84" spans="1:7" x14ac:dyDescent="0.25">
      <c r="A84" s="20">
        <v>1611</v>
      </c>
      <c r="B84" s="21" t="s">
        <v>776</v>
      </c>
      <c r="C84" s="22">
        <v>196042146.22</v>
      </c>
      <c r="D84" s="22">
        <v>30525333.140000001</v>
      </c>
      <c r="E84" s="22">
        <v>32346581.52</v>
      </c>
      <c r="F84" s="23">
        <v>35862294.700000003</v>
      </c>
      <c r="G84" t="s">
        <v>168</v>
      </c>
    </row>
    <row r="85" spans="1:7" x14ac:dyDescent="0.25">
      <c r="A85" s="20">
        <v>1619</v>
      </c>
      <c r="B85" s="21" t="s">
        <v>777</v>
      </c>
      <c r="C85" s="22">
        <v>18614354.09</v>
      </c>
      <c r="D85" s="22">
        <v>6581164.4900000002</v>
      </c>
      <c r="E85" s="22">
        <v>4116854.41</v>
      </c>
      <c r="F85" s="23">
        <v>4952193.55</v>
      </c>
      <c r="G85" t="s">
        <v>170</v>
      </c>
    </row>
    <row r="86" spans="1:7" x14ac:dyDescent="0.25">
      <c r="A86" s="20">
        <v>1638</v>
      </c>
      <c r="B86" s="21" t="s">
        <v>778</v>
      </c>
      <c r="C86" s="22">
        <v>22400326.609999999</v>
      </c>
      <c r="D86" s="22">
        <v>4387969.43</v>
      </c>
      <c r="E86" s="22">
        <v>3740899.38</v>
      </c>
      <c r="F86" s="23">
        <v>4200551.67</v>
      </c>
      <c r="G86" t="s">
        <v>172</v>
      </c>
    </row>
    <row r="87" spans="1:7" x14ac:dyDescent="0.25">
      <c r="A87" s="20">
        <v>1675</v>
      </c>
      <c r="B87" s="21" t="s">
        <v>779</v>
      </c>
      <c r="C87" s="22">
        <v>3531137.57</v>
      </c>
      <c r="D87" s="22">
        <v>791020.52</v>
      </c>
      <c r="E87" s="22">
        <v>666834.88</v>
      </c>
      <c r="F87" s="23">
        <v>774247.14</v>
      </c>
      <c r="G87" t="s">
        <v>174</v>
      </c>
    </row>
    <row r="88" spans="1:7" x14ac:dyDescent="0.25">
      <c r="A88" s="20">
        <v>1701</v>
      </c>
      <c r="B88" s="21" t="s">
        <v>780</v>
      </c>
      <c r="C88" s="22">
        <v>29032947.82</v>
      </c>
      <c r="D88" s="22">
        <v>7587826.3600000003</v>
      </c>
      <c r="E88" s="22">
        <v>10768557.93</v>
      </c>
      <c r="F88" s="23">
        <v>11447237.76</v>
      </c>
      <c r="G88" t="s">
        <v>176</v>
      </c>
    </row>
    <row r="89" spans="1:7" x14ac:dyDescent="0.25">
      <c r="A89" s="20">
        <v>1719</v>
      </c>
      <c r="B89" s="21" t="s">
        <v>781</v>
      </c>
      <c r="C89" s="22">
        <v>10465332.189999999</v>
      </c>
      <c r="D89" s="22">
        <v>1269818.6299999999</v>
      </c>
      <c r="E89" s="22">
        <v>707007.64</v>
      </c>
      <c r="F89" s="23">
        <v>1462952.47</v>
      </c>
      <c r="G89" t="s">
        <v>178</v>
      </c>
    </row>
    <row r="90" spans="1:7" x14ac:dyDescent="0.25">
      <c r="A90" s="20">
        <v>1737</v>
      </c>
      <c r="B90" s="21" t="s">
        <v>782</v>
      </c>
      <c r="C90" s="22">
        <v>469829650.99000001</v>
      </c>
      <c r="D90" s="22">
        <v>96728128.75</v>
      </c>
      <c r="E90" s="22">
        <v>158270801.25999999</v>
      </c>
      <c r="F90" s="23">
        <v>179845919.84</v>
      </c>
      <c r="G90" t="s">
        <v>180</v>
      </c>
    </row>
    <row r="91" spans="1:7" x14ac:dyDescent="0.25">
      <c r="A91" s="20">
        <v>1782</v>
      </c>
      <c r="B91" s="21" t="s">
        <v>783</v>
      </c>
      <c r="C91" s="22">
        <v>2164315.39</v>
      </c>
      <c r="D91" s="22">
        <v>653060.81000000006</v>
      </c>
      <c r="E91" s="22">
        <v>172449.42</v>
      </c>
      <c r="F91" s="23">
        <v>257159.8</v>
      </c>
      <c r="G91" t="s">
        <v>182</v>
      </c>
    </row>
    <row r="92" spans="1:7" x14ac:dyDescent="0.25">
      <c r="A92" s="20">
        <v>1791</v>
      </c>
      <c r="B92" s="21" t="s">
        <v>784</v>
      </c>
      <c r="C92" s="22">
        <v>11513880.640000001</v>
      </c>
      <c r="D92" s="22">
        <v>1469927.91</v>
      </c>
      <c r="E92" s="22">
        <v>1408933.93</v>
      </c>
      <c r="F92" s="23">
        <v>1600865.1</v>
      </c>
      <c r="G92" t="s">
        <v>184</v>
      </c>
    </row>
    <row r="93" spans="1:7" x14ac:dyDescent="0.25">
      <c r="A93" s="20">
        <v>1863</v>
      </c>
      <c r="B93" s="21" t="s">
        <v>785</v>
      </c>
      <c r="C93" s="22">
        <v>144568946.46000001</v>
      </c>
      <c r="D93" s="22">
        <v>24383141.989999998</v>
      </c>
      <c r="E93" s="22">
        <v>28035616.609999999</v>
      </c>
      <c r="F93" s="23">
        <v>30277494.899999999</v>
      </c>
      <c r="G93" t="s">
        <v>186</v>
      </c>
    </row>
    <row r="94" spans="1:7" x14ac:dyDescent="0.25">
      <c r="A94" s="20">
        <v>1908</v>
      </c>
      <c r="B94" s="21" t="s">
        <v>786</v>
      </c>
      <c r="C94" s="22">
        <v>5461687.4000000004</v>
      </c>
      <c r="D94" s="22">
        <v>1182970.68</v>
      </c>
      <c r="E94" s="22">
        <v>1157982.79</v>
      </c>
      <c r="F94" s="23">
        <v>1327639.3400000001</v>
      </c>
      <c r="G94" t="s">
        <v>188</v>
      </c>
    </row>
    <row r="95" spans="1:7" x14ac:dyDescent="0.25">
      <c r="A95" s="20">
        <v>1917</v>
      </c>
      <c r="B95" s="21" t="s">
        <v>787</v>
      </c>
      <c r="C95" s="22">
        <v>5483486.5300000003</v>
      </c>
      <c r="D95" s="22">
        <v>1199641.24</v>
      </c>
      <c r="E95" s="22">
        <v>2132170.9</v>
      </c>
      <c r="F95" s="23">
        <v>2404269.27</v>
      </c>
      <c r="G95" t="s">
        <v>76</v>
      </c>
    </row>
    <row r="96" spans="1:7" x14ac:dyDescent="0.25">
      <c r="A96" s="20">
        <v>1926</v>
      </c>
      <c r="B96" s="21" t="s">
        <v>788</v>
      </c>
      <c r="C96" s="22">
        <v>8104587.4299999997</v>
      </c>
      <c r="D96" s="22">
        <v>2114142.14</v>
      </c>
      <c r="E96" s="22">
        <v>1682389.57</v>
      </c>
      <c r="F96" s="23">
        <v>1840737.29</v>
      </c>
      <c r="G96" t="s">
        <v>190</v>
      </c>
    </row>
    <row r="97" spans="1:7" x14ac:dyDescent="0.25">
      <c r="A97" s="20">
        <v>1944</v>
      </c>
      <c r="B97" s="21" t="s">
        <v>789</v>
      </c>
      <c r="C97" s="22">
        <v>12826400.050000001</v>
      </c>
      <c r="D97" s="22">
        <v>2542905.4300000002</v>
      </c>
      <c r="E97" s="22">
        <v>4613132.16</v>
      </c>
      <c r="F97" s="23">
        <v>5266321.78</v>
      </c>
      <c r="G97" t="s">
        <v>192</v>
      </c>
    </row>
    <row r="98" spans="1:7" x14ac:dyDescent="0.25">
      <c r="A98" s="20">
        <v>1953</v>
      </c>
      <c r="B98" s="21" t="s">
        <v>790</v>
      </c>
      <c r="C98" s="22">
        <v>7405288.0300000003</v>
      </c>
      <c r="D98" s="22">
        <v>1391589.42</v>
      </c>
      <c r="E98" s="22">
        <v>2314838.9500000002</v>
      </c>
      <c r="F98" s="23">
        <v>2389092.0499999998</v>
      </c>
      <c r="G98" t="s">
        <v>194</v>
      </c>
    </row>
    <row r="99" spans="1:7" x14ac:dyDescent="0.25">
      <c r="A99" s="20">
        <v>1963</v>
      </c>
      <c r="B99" s="21" t="s">
        <v>791</v>
      </c>
      <c r="C99" s="22">
        <v>8033854.46</v>
      </c>
      <c r="D99" s="22">
        <v>1463288.27</v>
      </c>
      <c r="E99" s="22">
        <v>1515694.77</v>
      </c>
      <c r="F99" s="23">
        <v>1809078.45</v>
      </c>
      <c r="G99" t="s">
        <v>196</v>
      </c>
    </row>
    <row r="100" spans="1:7" x14ac:dyDescent="0.25">
      <c r="A100" s="20">
        <v>1965</v>
      </c>
      <c r="B100" s="21" t="s">
        <v>792</v>
      </c>
      <c r="C100" s="22">
        <v>7659039.1100000003</v>
      </c>
      <c r="D100" s="22">
        <v>1218028.06</v>
      </c>
      <c r="E100" s="22">
        <v>1742779.59</v>
      </c>
      <c r="F100" s="23">
        <v>2012470.03</v>
      </c>
      <c r="G100" t="s">
        <v>209</v>
      </c>
    </row>
    <row r="101" spans="1:7" x14ac:dyDescent="0.25">
      <c r="A101" s="20">
        <v>1968</v>
      </c>
      <c r="B101" s="21" t="s">
        <v>793</v>
      </c>
      <c r="C101" s="22">
        <v>8862120.5700000003</v>
      </c>
      <c r="D101" s="22">
        <v>2756829.67</v>
      </c>
      <c r="E101" s="22">
        <v>3231326.44</v>
      </c>
      <c r="F101" s="23">
        <v>4023225.13</v>
      </c>
      <c r="G101" t="s">
        <v>199</v>
      </c>
    </row>
    <row r="102" spans="1:7" x14ac:dyDescent="0.25">
      <c r="A102" s="20">
        <v>1970</v>
      </c>
      <c r="B102" s="21" t="s">
        <v>794</v>
      </c>
      <c r="C102" s="22">
        <v>8259307.3799999999</v>
      </c>
      <c r="D102" s="22">
        <v>2726377.11</v>
      </c>
      <c r="E102" s="22">
        <v>1740548.54</v>
      </c>
      <c r="F102" s="23">
        <v>1773353.37</v>
      </c>
      <c r="G102" t="s">
        <v>205</v>
      </c>
    </row>
    <row r="103" spans="1:7" x14ac:dyDescent="0.25">
      <c r="A103" s="20">
        <v>1972</v>
      </c>
      <c r="B103" s="21" t="s">
        <v>795</v>
      </c>
      <c r="C103" s="22">
        <v>4833488.6399999997</v>
      </c>
      <c r="D103" s="22">
        <v>867683.32</v>
      </c>
      <c r="E103" s="22">
        <v>539458.85</v>
      </c>
      <c r="F103" s="23">
        <v>843471.76</v>
      </c>
      <c r="G103" t="s">
        <v>207</v>
      </c>
    </row>
    <row r="104" spans="1:7" x14ac:dyDescent="0.25">
      <c r="A104" s="20">
        <v>1975</v>
      </c>
      <c r="B104" s="21" t="s">
        <v>796</v>
      </c>
      <c r="C104" s="22">
        <v>5679235.5999999996</v>
      </c>
      <c r="D104" s="22">
        <v>1425790.28</v>
      </c>
      <c r="E104" s="22">
        <v>1971961.33</v>
      </c>
      <c r="F104" s="23">
        <v>2185498.5699999998</v>
      </c>
      <c r="G104" t="s">
        <v>490</v>
      </c>
    </row>
    <row r="105" spans="1:7" x14ac:dyDescent="0.25">
      <c r="A105" s="20">
        <v>1989</v>
      </c>
      <c r="B105" s="21" t="s">
        <v>797</v>
      </c>
      <c r="C105" s="22">
        <v>6411489.2000000002</v>
      </c>
      <c r="D105" s="22">
        <v>2182406.85</v>
      </c>
      <c r="E105" s="22">
        <v>2550226.4300000002</v>
      </c>
      <c r="F105" s="23">
        <v>2704036.02</v>
      </c>
      <c r="G105" t="s">
        <v>213</v>
      </c>
    </row>
    <row r="106" spans="1:7" x14ac:dyDescent="0.25">
      <c r="A106" s="20">
        <v>2007</v>
      </c>
      <c r="B106" s="21" t="s">
        <v>798</v>
      </c>
      <c r="C106" s="22">
        <v>9635260.6300000008</v>
      </c>
      <c r="D106" s="22">
        <v>2951100.19</v>
      </c>
      <c r="E106" s="22">
        <v>2699580.24</v>
      </c>
      <c r="F106" s="23">
        <v>3266686.08</v>
      </c>
      <c r="G106" t="s">
        <v>215</v>
      </c>
    </row>
    <row r="107" spans="1:7" x14ac:dyDescent="0.25">
      <c r="A107" s="20">
        <v>2088</v>
      </c>
      <c r="B107" s="21" t="s">
        <v>799</v>
      </c>
      <c r="C107" s="22">
        <v>9244651.0700000003</v>
      </c>
      <c r="D107" s="22">
        <v>1912237.51</v>
      </c>
      <c r="E107" s="22">
        <v>3146466.03</v>
      </c>
      <c r="F107" s="23">
        <v>3494794.12</v>
      </c>
      <c r="G107" t="s">
        <v>217</v>
      </c>
    </row>
    <row r="108" spans="1:7" x14ac:dyDescent="0.25">
      <c r="A108" s="20">
        <v>2097</v>
      </c>
      <c r="B108" s="21" t="s">
        <v>800</v>
      </c>
      <c r="C108" s="22">
        <v>6467306.9000000004</v>
      </c>
      <c r="D108" s="22">
        <v>1237797.06</v>
      </c>
      <c r="E108" s="22">
        <v>2193631.16</v>
      </c>
      <c r="F108" s="23">
        <v>2373431.6800000002</v>
      </c>
      <c r="G108" t="s">
        <v>219</v>
      </c>
    </row>
    <row r="109" spans="1:7" x14ac:dyDescent="0.25">
      <c r="A109" s="20">
        <v>2113</v>
      </c>
      <c r="B109" s="21" t="s">
        <v>801</v>
      </c>
      <c r="C109" s="22">
        <v>3304299.85</v>
      </c>
      <c r="D109" s="22">
        <v>1021539.38</v>
      </c>
      <c r="E109" s="24">
        <v>493219.61</v>
      </c>
      <c r="F109" s="23">
        <v>557613.52</v>
      </c>
      <c r="G109" t="s">
        <v>221</v>
      </c>
    </row>
    <row r="110" spans="1:7" x14ac:dyDescent="0.25">
      <c r="A110" s="20">
        <v>2124</v>
      </c>
      <c r="B110" s="21" t="s">
        <v>802</v>
      </c>
      <c r="C110" s="22">
        <v>16213867.27</v>
      </c>
      <c r="D110" s="22">
        <v>1935368.78</v>
      </c>
      <c r="E110" s="22">
        <v>1884536.08</v>
      </c>
      <c r="F110" s="23">
        <v>2641347.77</v>
      </c>
      <c r="G110" t="s">
        <v>223</v>
      </c>
    </row>
    <row r="111" spans="1:7" x14ac:dyDescent="0.25">
      <c r="A111" s="20">
        <v>2151</v>
      </c>
      <c r="B111" s="21" t="s">
        <v>803</v>
      </c>
      <c r="C111" s="22">
        <v>5482608.7999999998</v>
      </c>
      <c r="D111" s="22">
        <v>755623.76</v>
      </c>
      <c r="E111" s="22">
        <v>2279145.08</v>
      </c>
      <c r="F111" s="23">
        <v>2483420.9</v>
      </c>
      <c r="G111" t="s">
        <v>225</v>
      </c>
    </row>
    <row r="112" spans="1:7" x14ac:dyDescent="0.25">
      <c r="A112" s="20">
        <v>2169</v>
      </c>
      <c r="B112" s="21" t="s">
        <v>804</v>
      </c>
      <c r="C112" s="22">
        <v>22313004.25</v>
      </c>
      <c r="D112" s="22">
        <v>4576052.55</v>
      </c>
      <c r="E112" s="22">
        <v>3576496.3</v>
      </c>
      <c r="F112" s="23">
        <v>4433573.29</v>
      </c>
      <c r="G112" t="s">
        <v>227</v>
      </c>
    </row>
    <row r="113" spans="1:7" x14ac:dyDescent="0.25">
      <c r="A113" s="20">
        <v>2295</v>
      </c>
      <c r="B113" s="21" t="s">
        <v>805</v>
      </c>
      <c r="C113" s="22">
        <v>14047188.42</v>
      </c>
      <c r="D113" s="22">
        <v>2568183.13</v>
      </c>
      <c r="E113" s="22">
        <v>3762309.38</v>
      </c>
      <c r="F113" s="23">
        <v>4361073.99</v>
      </c>
      <c r="G113" t="s">
        <v>229</v>
      </c>
    </row>
    <row r="114" spans="1:7" x14ac:dyDescent="0.25">
      <c r="A114" s="20">
        <v>2313</v>
      </c>
      <c r="B114" s="21" t="s">
        <v>806</v>
      </c>
      <c r="C114" s="22">
        <v>55374671.719999999</v>
      </c>
      <c r="D114" s="22">
        <v>13448373.140000001</v>
      </c>
      <c r="E114" s="22">
        <v>8121233.8099999996</v>
      </c>
      <c r="F114" s="23">
        <v>9115727.75</v>
      </c>
      <c r="G114" t="s">
        <v>231</v>
      </c>
    </row>
    <row r="115" spans="1:7" x14ac:dyDescent="0.25">
      <c r="A115" s="20">
        <v>2322</v>
      </c>
      <c r="B115" s="21" t="s">
        <v>807</v>
      </c>
      <c r="C115" s="22">
        <v>26726663.550000001</v>
      </c>
      <c r="D115" s="22">
        <v>4514698.6100000003</v>
      </c>
      <c r="E115" s="22">
        <v>8895806.5600000005</v>
      </c>
      <c r="F115" s="23">
        <v>9662599.1400000006</v>
      </c>
      <c r="G115" t="s">
        <v>233</v>
      </c>
    </row>
    <row r="116" spans="1:7" x14ac:dyDescent="0.25">
      <c r="A116" s="20">
        <v>2369</v>
      </c>
      <c r="B116" s="21" t="s">
        <v>808</v>
      </c>
      <c r="C116" s="22">
        <v>6106911.29</v>
      </c>
      <c r="D116" s="22">
        <v>1242844.24</v>
      </c>
      <c r="E116" s="22">
        <v>1070873.54</v>
      </c>
      <c r="F116" s="23">
        <v>1591268.34</v>
      </c>
      <c r="G116" t="s">
        <v>235</v>
      </c>
    </row>
    <row r="117" spans="1:7" x14ac:dyDescent="0.25">
      <c r="A117" s="20">
        <v>2376</v>
      </c>
      <c r="B117" s="21" t="s">
        <v>809</v>
      </c>
      <c r="C117" s="22">
        <v>7007632.3899999997</v>
      </c>
      <c r="D117" s="22">
        <v>2201174.31</v>
      </c>
      <c r="E117" s="22">
        <v>3457809.99</v>
      </c>
      <c r="F117" s="23">
        <v>3752715.24</v>
      </c>
      <c r="G117" t="s">
        <v>237</v>
      </c>
    </row>
    <row r="118" spans="1:7" x14ac:dyDescent="0.25">
      <c r="A118" s="20">
        <v>2403</v>
      </c>
      <c r="B118" s="21" t="s">
        <v>810</v>
      </c>
      <c r="C118" s="22">
        <v>11494835.060000001</v>
      </c>
      <c r="D118" s="22">
        <v>2716797.17</v>
      </c>
      <c r="E118" s="22">
        <v>3215154.16</v>
      </c>
      <c r="F118" s="23">
        <v>4735251.5999999996</v>
      </c>
      <c r="G118" t="s">
        <v>239</v>
      </c>
    </row>
    <row r="119" spans="1:7" x14ac:dyDescent="0.25">
      <c r="A119" s="20">
        <v>2457</v>
      </c>
      <c r="B119" s="21" t="s">
        <v>811</v>
      </c>
      <c r="C119" s="22">
        <v>5572167.7699999996</v>
      </c>
      <c r="D119" s="22">
        <v>1052703.52</v>
      </c>
      <c r="E119" s="22">
        <v>1963721.66</v>
      </c>
      <c r="F119" s="23">
        <v>2456270.1800000002</v>
      </c>
      <c r="G119" t="s">
        <v>241</v>
      </c>
    </row>
    <row r="120" spans="1:7" x14ac:dyDescent="0.25">
      <c r="A120" s="20">
        <v>2466</v>
      </c>
      <c r="B120" s="21" t="s">
        <v>812</v>
      </c>
      <c r="C120" s="22">
        <v>18812541.420000002</v>
      </c>
      <c r="D120" s="22">
        <v>2549535</v>
      </c>
      <c r="E120" s="22">
        <v>3646114.79</v>
      </c>
      <c r="F120" s="23">
        <v>3890456.28</v>
      </c>
      <c r="G120" t="s">
        <v>243</v>
      </c>
    </row>
    <row r="121" spans="1:7" x14ac:dyDescent="0.25">
      <c r="A121" s="20">
        <v>2493</v>
      </c>
      <c r="B121" s="21" t="s">
        <v>813</v>
      </c>
      <c r="C121" s="22">
        <v>2697350.21</v>
      </c>
      <c r="D121" s="22">
        <v>374773.17</v>
      </c>
      <c r="E121" s="24">
        <v>-421019</v>
      </c>
      <c r="F121" s="25">
        <v>-355490.93</v>
      </c>
      <c r="G121" t="s">
        <v>245</v>
      </c>
    </row>
    <row r="122" spans="1:7" x14ac:dyDescent="0.25">
      <c r="A122" s="20">
        <v>2502</v>
      </c>
      <c r="B122" s="21" t="s">
        <v>814</v>
      </c>
      <c r="C122" s="22">
        <v>7851184.6600000001</v>
      </c>
      <c r="D122" s="22">
        <v>854680.23</v>
      </c>
      <c r="E122" s="22">
        <v>1391114.45</v>
      </c>
      <c r="F122" s="23">
        <v>1643630.69</v>
      </c>
      <c r="G122" t="s">
        <v>247</v>
      </c>
    </row>
    <row r="123" spans="1:7" x14ac:dyDescent="0.25">
      <c r="A123" s="20">
        <v>2511</v>
      </c>
      <c r="B123" s="21" t="s">
        <v>815</v>
      </c>
      <c r="C123" s="22">
        <v>25214880.780000001</v>
      </c>
      <c r="D123" s="22">
        <v>3885622.92</v>
      </c>
      <c r="E123" s="22">
        <v>2499045.7000000002</v>
      </c>
      <c r="F123" s="23">
        <v>4050995.24</v>
      </c>
      <c r="G123" t="s">
        <v>249</v>
      </c>
    </row>
    <row r="124" spans="1:7" x14ac:dyDescent="0.25">
      <c r="A124" s="20">
        <v>2520</v>
      </c>
      <c r="B124" s="21" t="s">
        <v>816</v>
      </c>
      <c r="C124" s="22">
        <v>4356153.2699999996</v>
      </c>
      <c r="D124" s="22">
        <v>1297198.8600000001</v>
      </c>
      <c r="E124" s="22">
        <v>1042706.69</v>
      </c>
      <c r="F124" s="23">
        <v>1342798.72</v>
      </c>
      <c r="G124" t="s">
        <v>251</v>
      </c>
    </row>
    <row r="125" spans="1:7" x14ac:dyDescent="0.25">
      <c r="A125" s="20">
        <v>2556</v>
      </c>
      <c r="B125" s="21" t="s">
        <v>817</v>
      </c>
      <c r="C125" s="22">
        <v>5783643.7400000002</v>
      </c>
      <c r="D125" s="22">
        <v>959508</v>
      </c>
      <c r="E125" s="24">
        <v>-1107146.8700000001</v>
      </c>
      <c r="F125" s="23">
        <v>-472869.07</v>
      </c>
      <c r="G125" t="s">
        <v>255</v>
      </c>
    </row>
    <row r="126" spans="1:7" x14ac:dyDescent="0.25">
      <c r="A126" s="20">
        <v>2673</v>
      </c>
      <c r="B126" s="21" t="s">
        <v>818</v>
      </c>
      <c r="C126" s="22">
        <v>7811165.96</v>
      </c>
      <c r="D126" s="22">
        <v>1645597.85</v>
      </c>
      <c r="E126" s="22">
        <v>3979009.63</v>
      </c>
      <c r="F126" s="23">
        <v>4094468.63</v>
      </c>
      <c r="G126" t="s">
        <v>413</v>
      </c>
    </row>
    <row r="127" spans="1:7" x14ac:dyDescent="0.25">
      <c r="A127" s="20">
        <v>2682</v>
      </c>
      <c r="B127" s="21" t="s">
        <v>819</v>
      </c>
      <c r="C127" s="22">
        <v>6030871.1799999997</v>
      </c>
      <c r="D127" s="22">
        <v>2814973.37</v>
      </c>
      <c r="E127" s="22">
        <v>1589793.12</v>
      </c>
      <c r="F127" s="23">
        <v>1983644.19</v>
      </c>
      <c r="G127" t="s">
        <v>253</v>
      </c>
    </row>
    <row r="128" spans="1:7" x14ac:dyDescent="0.25">
      <c r="A128" s="20">
        <v>2709</v>
      </c>
      <c r="B128" s="21" t="s">
        <v>820</v>
      </c>
      <c r="C128" s="22">
        <v>21124387.989999998</v>
      </c>
      <c r="D128" s="22">
        <v>2734518.3</v>
      </c>
      <c r="E128" s="22">
        <v>3588149.49</v>
      </c>
      <c r="F128" s="23">
        <v>3796396.09</v>
      </c>
      <c r="G128" t="s">
        <v>259</v>
      </c>
    </row>
    <row r="129" spans="1:7" x14ac:dyDescent="0.25">
      <c r="A129" s="20">
        <v>2718</v>
      </c>
      <c r="B129" s="21" t="s">
        <v>821</v>
      </c>
      <c r="C129" s="22">
        <v>6515964.7300000004</v>
      </c>
      <c r="D129" s="22">
        <v>1072672.55</v>
      </c>
      <c r="E129" s="22">
        <v>2416161.15</v>
      </c>
      <c r="F129" s="23">
        <v>2600282.0699999998</v>
      </c>
      <c r="G129" t="s">
        <v>261</v>
      </c>
    </row>
    <row r="130" spans="1:7" x14ac:dyDescent="0.25">
      <c r="A130" s="20">
        <v>2727</v>
      </c>
      <c r="B130" s="21" t="s">
        <v>822</v>
      </c>
      <c r="C130" s="22">
        <v>9227971.6199999992</v>
      </c>
      <c r="D130" s="22">
        <v>1507661.29</v>
      </c>
      <c r="E130" s="22">
        <v>910507.99</v>
      </c>
      <c r="F130" s="23">
        <v>1212666.82</v>
      </c>
      <c r="G130" t="s">
        <v>263</v>
      </c>
    </row>
    <row r="131" spans="1:7" x14ac:dyDescent="0.25">
      <c r="A131" s="20">
        <v>2754</v>
      </c>
      <c r="B131" s="21" t="s">
        <v>823</v>
      </c>
      <c r="C131" s="22">
        <v>6928253.8200000003</v>
      </c>
      <c r="D131" s="22">
        <v>2016972.66</v>
      </c>
      <c r="E131" s="22">
        <v>1487950.25</v>
      </c>
      <c r="F131" s="23">
        <v>1607450.4</v>
      </c>
      <c r="G131" t="s">
        <v>265</v>
      </c>
    </row>
    <row r="132" spans="1:7" x14ac:dyDescent="0.25">
      <c r="A132" s="20">
        <v>2763</v>
      </c>
      <c r="B132" s="21" t="s">
        <v>824</v>
      </c>
      <c r="C132" s="22">
        <v>13064171.65</v>
      </c>
      <c r="D132" s="22">
        <v>6248020.4699999997</v>
      </c>
      <c r="E132" s="22">
        <v>944483.43</v>
      </c>
      <c r="F132" s="23">
        <v>1379808.49</v>
      </c>
      <c r="G132" t="s">
        <v>137</v>
      </c>
    </row>
    <row r="133" spans="1:7" x14ac:dyDescent="0.25">
      <c r="A133" s="20">
        <v>2766</v>
      </c>
      <c r="B133" s="21" t="s">
        <v>825</v>
      </c>
      <c r="C133" s="22">
        <v>4775469.92</v>
      </c>
      <c r="D133" s="22">
        <v>939310.12</v>
      </c>
      <c r="E133" s="22">
        <v>1192544.98</v>
      </c>
      <c r="F133" s="23">
        <v>1440628.2</v>
      </c>
      <c r="G133" t="s">
        <v>281</v>
      </c>
    </row>
    <row r="134" spans="1:7" x14ac:dyDescent="0.25">
      <c r="A134" s="20">
        <v>2772</v>
      </c>
      <c r="B134" s="21" t="s">
        <v>826</v>
      </c>
      <c r="C134" s="22">
        <v>2846383.73</v>
      </c>
      <c r="D134" s="22">
        <v>749771.23</v>
      </c>
      <c r="E134" s="22">
        <v>1868999.02</v>
      </c>
      <c r="F134" s="23">
        <v>1944925.74</v>
      </c>
      <c r="G134" t="s">
        <v>267</v>
      </c>
    </row>
    <row r="135" spans="1:7" x14ac:dyDescent="0.25">
      <c r="A135" s="20">
        <v>2781</v>
      </c>
      <c r="B135" s="21" t="s">
        <v>827</v>
      </c>
      <c r="C135" s="22">
        <v>17469458.129999999</v>
      </c>
      <c r="D135" s="22">
        <v>4495366.99</v>
      </c>
      <c r="E135" s="22">
        <v>1923066.76</v>
      </c>
      <c r="F135" s="23">
        <v>1985528.1</v>
      </c>
      <c r="G135" t="s">
        <v>269</v>
      </c>
    </row>
    <row r="136" spans="1:7" x14ac:dyDescent="0.25">
      <c r="A136" s="20">
        <v>2826</v>
      </c>
      <c r="B136" s="21" t="s">
        <v>828</v>
      </c>
      <c r="C136" s="22">
        <v>17962858.559999999</v>
      </c>
      <c r="D136" s="22">
        <v>2773824.72</v>
      </c>
      <c r="E136" s="22">
        <v>3594051.84</v>
      </c>
      <c r="F136" s="23">
        <v>3972559.97</v>
      </c>
      <c r="G136" t="s">
        <v>271</v>
      </c>
    </row>
    <row r="137" spans="1:7" x14ac:dyDescent="0.25">
      <c r="A137" s="20">
        <v>2846</v>
      </c>
      <c r="B137" s="21" t="s">
        <v>829</v>
      </c>
      <c r="C137" s="22">
        <v>4108739.58</v>
      </c>
      <c r="D137" s="22">
        <v>883059.8</v>
      </c>
      <c r="E137" s="22">
        <v>3402806.04</v>
      </c>
      <c r="F137" s="23">
        <v>3551705.91</v>
      </c>
      <c r="G137" t="s">
        <v>273</v>
      </c>
    </row>
    <row r="138" spans="1:7" x14ac:dyDescent="0.25">
      <c r="A138" s="20">
        <v>2862</v>
      </c>
      <c r="B138" s="21" t="s">
        <v>830</v>
      </c>
      <c r="C138" s="22">
        <v>8743252.5500000007</v>
      </c>
      <c r="D138" s="22">
        <v>1486163.29</v>
      </c>
      <c r="E138" s="22">
        <v>1480460.72</v>
      </c>
      <c r="F138" s="23">
        <v>1792669.38</v>
      </c>
      <c r="G138" t="s">
        <v>275</v>
      </c>
    </row>
    <row r="139" spans="1:7" x14ac:dyDescent="0.25">
      <c r="A139" s="20">
        <v>2977</v>
      </c>
      <c r="B139" s="21" t="s">
        <v>831</v>
      </c>
      <c r="C139" s="22">
        <v>8031953.2300000004</v>
      </c>
      <c r="D139" s="22">
        <v>1160935.8600000001</v>
      </c>
      <c r="E139" s="22">
        <v>2057186.04</v>
      </c>
      <c r="F139" s="23">
        <v>2257510.27</v>
      </c>
      <c r="G139" t="s">
        <v>277</v>
      </c>
    </row>
    <row r="140" spans="1:7" x14ac:dyDescent="0.25">
      <c r="A140" s="20">
        <v>2988</v>
      </c>
      <c r="B140" s="21" t="s">
        <v>832</v>
      </c>
      <c r="C140" s="22">
        <v>8660151.9299999997</v>
      </c>
      <c r="D140" s="22">
        <v>2961029.05</v>
      </c>
      <c r="E140" s="22">
        <v>1789090.45</v>
      </c>
      <c r="F140" s="23">
        <v>1960978.14</v>
      </c>
      <c r="G140" t="s">
        <v>279</v>
      </c>
    </row>
    <row r="141" spans="1:7" x14ac:dyDescent="0.25">
      <c r="A141" s="20">
        <v>3029</v>
      </c>
      <c r="B141" s="21" t="s">
        <v>833</v>
      </c>
      <c r="C141" s="22">
        <v>15871597.15</v>
      </c>
      <c r="D141" s="22">
        <v>2640756.64</v>
      </c>
      <c r="E141" s="22">
        <v>3473992.09</v>
      </c>
      <c r="F141" s="23">
        <v>4184173.67</v>
      </c>
      <c r="G141" t="s">
        <v>283</v>
      </c>
    </row>
    <row r="142" spans="1:7" x14ac:dyDescent="0.25">
      <c r="A142" s="20">
        <v>3033</v>
      </c>
      <c r="B142" s="21" t="s">
        <v>834</v>
      </c>
      <c r="C142" s="22">
        <v>6724511.6200000001</v>
      </c>
      <c r="D142" s="22">
        <v>1652172.41</v>
      </c>
      <c r="E142" s="22">
        <v>1364292.53</v>
      </c>
      <c r="F142" s="23">
        <v>1711192.58</v>
      </c>
      <c r="G142" t="s">
        <v>285</v>
      </c>
    </row>
    <row r="143" spans="1:7" x14ac:dyDescent="0.25">
      <c r="A143" s="20">
        <v>3042</v>
      </c>
      <c r="B143" s="21" t="s">
        <v>835</v>
      </c>
      <c r="C143" s="22">
        <v>9283937.2200000007</v>
      </c>
      <c r="D143" s="22">
        <v>1869655.36</v>
      </c>
      <c r="E143" s="22">
        <v>2229203.2400000002</v>
      </c>
      <c r="F143" s="23">
        <v>2517362.3199999998</v>
      </c>
      <c r="G143" t="s">
        <v>287</v>
      </c>
    </row>
    <row r="144" spans="1:7" x14ac:dyDescent="0.25">
      <c r="A144" s="20">
        <v>3060</v>
      </c>
      <c r="B144" s="21" t="s">
        <v>836</v>
      </c>
      <c r="C144" s="22">
        <v>17690714.739999998</v>
      </c>
      <c r="D144" s="22">
        <v>4322223.71</v>
      </c>
      <c r="E144" s="22">
        <v>4311881.58</v>
      </c>
      <c r="F144" s="23">
        <v>4371762.57</v>
      </c>
      <c r="G144" t="s">
        <v>289</v>
      </c>
    </row>
    <row r="145" spans="1:7" x14ac:dyDescent="0.25">
      <c r="A145" s="20">
        <v>3105</v>
      </c>
      <c r="B145" s="21" t="s">
        <v>837</v>
      </c>
      <c r="C145" s="22">
        <v>18203915.539999999</v>
      </c>
      <c r="D145" s="22">
        <v>3496069.22</v>
      </c>
      <c r="E145" s="22">
        <v>5189826.59</v>
      </c>
      <c r="F145" s="23">
        <v>5882800.21</v>
      </c>
      <c r="G145" t="s">
        <v>292</v>
      </c>
    </row>
    <row r="146" spans="1:7" x14ac:dyDescent="0.25">
      <c r="A146" s="20">
        <v>3114</v>
      </c>
      <c r="B146" s="21" t="s">
        <v>838</v>
      </c>
      <c r="C146" s="22">
        <v>42998384.75</v>
      </c>
      <c r="D146" s="22">
        <v>4853066.6900000004</v>
      </c>
      <c r="E146" s="22">
        <v>7268323.6100000003</v>
      </c>
      <c r="F146" s="23">
        <v>8123000.96</v>
      </c>
      <c r="G146" t="s">
        <v>294</v>
      </c>
    </row>
    <row r="147" spans="1:7" x14ac:dyDescent="0.25">
      <c r="A147" s="20">
        <v>3119</v>
      </c>
      <c r="B147" s="21" t="s">
        <v>839</v>
      </c>
      <c r="C147" s="22">
        <v>11082262.9</v>
      </c>
      <c r="D147" s="22">
        <v>2006549.89</v>
      </c>
      <c r="E147" s="22">
        <v>1771940.91</v>
      </c>
      <c r="F147" s="23">
        <v>2127382.5699999998</v>
      </c>
      <c r="G147" t="s">
        <v>296</v>
      </c>
    </row>
    <row r="148" spans="1:7" x14ac:dyDescent="0.25">
      <c r="A148" s="20">
        <v>3141</v>
      </c>
      <c r="B148" s="21" t="s">
        <v>840</v>
      </c>
      <c r="C148" s="22">
        <v>202435544.09999999</v>
      </c>
      <c r="D148" s="22">
        <v>29517458.579999998</v>
      </c>
      <c r="E148" s="22">
        <v>5250260.67</v>
      </c>
      <c r="F148" s="23">
        <v>9956089.4399999995</v>
      </c>
      <c r="G148" t="s">
        <v>298</v>
      </c>
    </row>
    <row r="149" spans="1:7" x14ac:dyDescent="0.25">
      <c r="A149" s="20">
        <v>3150</v>
      </c>
      <c r="B149" s="21" t="s">
        <v>841</v>
      </c>
      <c r="C149" s="22">
        <v>15944226.550000001</v>
      </c>
      <c r="D149" s="22">
        <v>4370926.95</v>
      </c>
      <c r="E149" s="22">
        <v>2425072.66</v>
      </c>
      <c r="F149" s="23">
        <v>2812275.11</v>
      </c>
      <c r="G149" t="s">
        <v>300</v>
      </c>
    </row>
    <row r="150" spans="1:7" x14ac:dyDescent="0.25">
      <c r="A150" s="20">
        <v>3154</v>
      </c>
      <c r="B150" s="21" t="s">
        <v>842</v>
      </c>
      <c r="C150" s="22">
        <v>6424558.2999999998</v>
      </c>
      <c r="D150" s="22">
        <v>1028098.66</v>
      </c>
      <c r="E150" s="22">
        <v>1996889.7</v>
      </c>
      <c r="F150" s="23">
        <v>2695075.51</v>
      </c>
      <c r="G150" t="s">
        <v>302</v>
      </c>
    </row>
    <row r="151" spans="1:7" x14ac:dyDescent="0.25">
      <c r="A151" s="20">
        <v>3168</v>
      </c>
      <c r="B151" s="21" t="s">
        <v>843</v>
      </c>
      <c r="C151" s="22">
        <v>9951996.1300000008</v>
      </c>
      <c r="D151" s="22">
        <v>2080057.64</v>
      </c>
      <c r="E151" s="22">
        <v>2144314.75</v>
      </c>
      <c r="F151" s="23">
        <v>2409688.5</v>
      </c>
      <c r="G151" t="s">
        <v>291</v>
      </c>
    </row>
    <row r="152" spans="1:7" x14ac:dyDescent="0.25">
      <c r="A152" s="20">
        <v>3186</v>
      </c>
      <c r="B152" s="21" t="s">
        <v>844</v>
      </c>
      <c r="C152" s="22">
        <v>5534764.9900000002</v>
      </c>
      <c r="D152" s="22">
        <v>883407.19</v>
      </c>
      <c r="E152" s="22">
        <v>1528750.18</v>
      </c>
      <c r="F152" s="23">
        <v>1657984.15</v>
      </c>
      <c r="G152" t="s">
        <v>304</v>
      </c>
    </row>
    <row r="153" spans="1:7" x14ac:dyDescent="0.25">
      <c r="A153" s="20">
        <v>3195</v>
      </c>
      <c r="B153" s="21" t="s">
        <v>845</v>
      </c>
      <c r="C153" s="22">
        <v>17558451.140000001</v>
      </c>
      <c r="D153" s="22">
        <v>3604380.28</v>
      </c>
      <c r="E153" s="22">
        <v>2129555.25</v>
      </c>
      <c r="F153" s="23">
        <v>2466707.0299999998</v>
      </c>
      <c r="G153" t="s">
        <v>257</v>
      </c>
    </row>
    <row r="154" spans="1:7" x14ac:dyDescent="0.25">
      <c r="A154" s="20">
        <v>3204</v>
      </c>
      <c r="B154" s="21" t="s">
        <v>846</v>
      </c>
      <c r="C154" s="22">
        <v>11667780.4</v>
      </c>
      <c r="D154" s="22">
        <v>1431432.13</v>
      </c>
      <c r="E154" s="22">
        <v>1432327.22</v>
      </c>
      <c r="F154" s="23">
        <v>1770902.78</v>
      </c>
      <c r="G154" t="s">
        <v>306</v>
      </c>
    </row>
    <row r="155" spans="1:7" x14ac:dyDescent="0.25">
      <c r="A155" s="20">
        <v>3231</v>
      </c>
      <c r="B155" s="21" t="s">
        <v>847</v>
      </c>
      <c r="C155" s="22">
        <v>88285047.989999995</v>
      </c>
      <c r="D155" s="22">
        <v>12999699.15</v>
      </c>
      <c r="E155" s="22">
        <v>18556483.43</v>
      </c>
      <c r="F155" s="23">
        <v>21380621.809999999</v>
      </c>
      <c r="G155" t="s">
        <v>308</v>
      </c>
    </row>
    <row r="156" spans="1:7" x14ac:dyDescent="0.25">
      <c r="A156" s="20">
        <v>3312</v>
      </c>
      <c r="B156" s="21" t="s">
        <v>848</v>
      </c>
      <c r="C156" s="22">
        <v>26191621.829999998</v>
      </c>
      <c r="D156" s="22">
        <v>4543269.6399999997</v>
      </c>
      <c r="E156" s="22">
        <v>6819815.0800000001</v>
      </c>
      <c r="F156" s="23">
        <v>7150569.1100000003</v>
      </c>
      <c r="G156" t="s">
        <v>310</v>
      </c>
    </row>
    <row r="157" spans="1:7" x14ac:dyDescent="0.25">
      <c r="A157" s="20">
        <v>3330</v>
      </c>
      <c r="B157" s="21" t="s">
        <v>849</v>
      </c>
      <c r="C157" s="22">
        <v>4373897.33</v>
      </c>
      <c r="D157" s="22">
        <v>468464.01</v>
      </c>
      <c r="E157" s="22">
        <v>645878.38</v>
      </c>
      <c r="F157" s="23">
        <v>995397.8</v>
      </c>
      <c r="G157" t="s">
        <v>312</v>
      </c>
    </row>
    <row r="158" spans="1:7" x14ac:dyDescent="0.25">
      <c r="A158" s="20">
        <v>3348</v>
      </c>
      <c r="B158" s="21" t="s">
        <v>850</v>
      </c>
      <c r="C158" s="22">
        <v>6298407.4500000002</v>
      </c>
      <c r="D158" s="22">
        <v>1225839.3799999999</v>
      </c>
      <c r="E158" s="22">
        <v>1466228.8</v>
      </c>
      <c r="F158" s="23">
        <v>1704786.78</v>
      </c>
      <c r="G158" t="s">
        <v>314</v>
      </c>
    </row>
    <row r="159" spans="1:7" x14ac:dyDescent="0.25">
      <c r="A159" s="20">
        <v>3375</v>
      </c>
      <c r="B159" s="21" t="s">
        <v>851</v>
      </c>
      <c r="C159" s="22">
        <v>22582004.609999999</v>
      </c>
      <c r="D159" s="22">
        <v>2936048.77</v>
      </c>
      <c r="E159" s="22">
        <v>3183938.13</v>
      </c>
      <c r="F159" s="23">
        <v>3904701.22</v>
      </c>
      <c r="G159" t="s">
        <v>316</v>
      </c>
    </row>
    <row r="160" spans="1:7" x14ac:dyDescent="0.25">
      <c r="A160" s="20">
        <v>3420</v>
      </c>
      <c r="B160" s="21" t="s">
        <v>852</v>
      </c>
      <c r="C160" s="22">
        <v>8173433.71</v>
      </c>
      <c r="D160" s="22">
        <v>1665771.45</v>
      </c>
      <c r="E160" s="22">
        <v>2174281.87</v>
      </c>
      <c r="F160" s="23">
        <v>2532034.2200000002</v>
      </c>
      <c r="G160" t="s">
        <v>318</v>
      </c>
    </row>
    <row r="161" spans="1:7" x14ac:dyDescent="0.25">
      <c r="A161" s="20">
        <v>3465</v>
      </c>
      <c r="B161" s="21" t="s">
        <v>853</v>
      </c>
      <c r="C161" s="22">
        <v>4628672.82</v>
      </c>
      <c r="D161" s="22">
        <v>1357728.6</v>
      </c>
      <c r="E161" s="24">
        <v>188588.91</v>
      </c>
      <c r="F161" s="25">
        <v>204449.06</v>
      </c>
      <c r="G161" t="s">
        <v>320</v>
      </c>
    </row>
    <row r="162" spans="1:7" x14ac:dyDescent="0.25">
      <c r="A162" s="20">
        <v>3537</v>
      </c>
      <c r="B162" s="21" t="s">
        <v>854</v>
      </c>
      <c r="C162" s="22">
        <v>3998533.31</v>
      </c>
      <c r="D162" s="22">
        <v>560217.17000000004</v>
      </c>
      <c r="E162" s="22">
        <v>1334165.79</v>
      </c>
      <c r="F162" s="23">
        <v>1591668.11</v>
      </c>
      <c r="G162" t="s">
        <v>322</v>
      </c>
    </row>
    <row r="163" spans="1:7" x14ac:dyDescent="0.25">
      <c r="A163" s="20">
        <v>3555</v>
      </c>
      <c r="B163" s="21" t="s">
        <v>855</v>
      </c>
      <c r="C163" s="22">
        <v>7867679.46</v>
      </c>
      <c r="D163" s="22">
        <v>2040885.52</v>
      </c>
      <c r="E163" s="22">
        <v>4074700.49</v>
      </c>
      <c r="F163" s="23">
        <v>4418997.33</v>
      </c>
      <c r="G163" t="s">
        <v>324</v>
      </c>
    </row>
    <row r="164" spans="1:7" x14ac:dyDescent="0.25">
      <c r="A164" s="20">
        <v>3600</v>
      </c>
      <c r="B164" s="21" t="s">
        <v>856</v>
      </c>
      <c r="C164" s="22">
        <v>26947252.48</v>
      </c>
      <c r="D164" s="22">
        <v>3461664.64</v>
      </c>
      <c r="E164" s="22">
        <v>7220553.3899999997</v>
      </c>
      <c r="F164" s="23">
        <v>7583365.9699999997</v>
      </c>
      <c r="G164" t="s">
        <v>326</v>
      </c>
    </row>
    <row r="165" spans="1:7" x14ac:dyDescent="0.25">
      <c r="A165" s="20">
        <v>3609</v>
      </c>
      <c r="B165" s="21" t="s">
        <v>857</v>
      </c>
      <c r="C165" s="22">
        <v>6411885.8700000001</v>
      </c>
      <c r="D165" s="22">
        <v>1499311.11</v>
      </c>
      <c r="E165" s="22">
        <v>2233109.52</v>
      </c>
      <c r="F165" s="23">
        <v>2572799.0099999998</v>
      </c>
      <c r="G165" t="s">
        <v>328</v>
      </c>
    </row>
    <row r="166" spans="1:7" x14ac:dyDescent="0.25">
      <c r="A166" s="20">
        <v>3645</v>
      </c>
      <c r="B166" s="21" t="s">
        <v>858</v>
      </c>
      <c r="C166" s="22">
        <v>37343116.259999998</v>
      </c>
      <c r="D166" s="22">
        <v>8580385.3800000008</v>
      </c>
      <c r="E166" s="22">
        <v>9219553.3399999999</v>
      </c>
      <c r="F166" s="23">
        <v>10290275.09</v>
      </c>
      <c r="G166" t="s">
        <v>330</v>
      </c>
    </row>
    <row r="167" spans="1:7" x14ac:dyDescent="0.25">
      <c r="A167" s="20">
        <v>3691</v>
      </c>
      <c r="B167" s="21" t="s">
        <v>859</v>
      </c>
      <c r="C167" s="22">
        <v>10401231.199999999</v>
      </c>
      <c r="D167" s="22">
        <v>1399167.92</v>
      </c>
      <c r="E167" s="22">
        <v>752533.82</v>
      </c>
      <c r="F167" s="23">
        <v>1169104.8899999999</v>
      </c>
      <c r="G167" t="s">
        <v>417</v>
      </c>
    </row>
    <row r="168" spans="1:7" x14ac:dyDescent="0.25">
      <c r="A168" s="20">
        <v>3715</v>
      </c>
      <c r="B168" s="21" t="s">
        <v>860</v>
      </c>
      <c r="C168" s="22">
        <v>101239181.81999999</v>
      </c>
      <c r="D168" s="22">
        <v>13956915.98</v>
      </c>
      <c r="E168" s="22">
        <v>11881513.25</v>
      </c>
      <c r="F168" s="23">
        <v>12313088.23</v>
      </c>
      <c r="G168" t="s">
        <v>332</v>
      </c>
    </row>
    <row r="169" spans="1:7" x14ac:dyDescent="0.25">
      <c r="A169" s="20">
        <v>3744</v>
      </c>
      <c r="B169" s="21" t="s">
        <v>861</v>
      </c>
      <c r="C169" s="22">
        <v>8828906.9299999997</v>
      </c>
      <c r="D169" s="22">
        <v>1682390.2</v>
      </c>
      <c r="E169" s="22">
        <v>1514096.6</v>
      </c>
      <c r="F169" s="23">
        <v>1959064.36</v>
      </c>
      <c r="G169" t="s">
        <v>334</v>
      </c>
    </row>
    <row r="170" spans="1:7" x14ac:dyDescent="0.25">
      <c r="A170" s="20">
        <v>3798</v>
      </c>
      <c r="B170" s="21" t="s">
        <v>862</v>
      </c>
      <c r="C170" s="22">
        <v>7538903.2800000003</v>
      </c>
      <c r="D170" s="22">
        <v>1653806.71</v>
      </c>
      <c r="E170" s="22">
        <v>1718120.54</v>
      </c>
      <c r="F170" s="23">
        <v>2024392.47</v>
      </c>
      <c r="G170" t="s">
        <v>336</v>
      </c>
    </row>
    <row r="171" spans="1:7" x14ac:dyDescent="0.25">
      <c r="A171" s="20">
        <v>3816</v>
      </c>
      <c r="B171" s="21" t="s">
        <v>863</v>
      </c>
      <c r="C171" s="22">
        <v>4919231.87</v>
      </c>
      <c r="D171" s="22">
        <v>1166540.1000000001</v>
      </c>
      <c r="E171" s="22">
        <v>1378292.51</v>
      </c>
      <c r="F171" s="23">
        <v>1690616.38</v>
      </c>
      <c r="G171" t="s">
        <v>338</v>
      </c>
    </row>
    <row r="172" spans="1:7" x14ac:dyDescent="0.25">
      <c r="A172" s="20">
        <v>3841</v>
      </c>
      <c r="B172" s="21" t="s">
        <v>864</v>
      </c>
      <c r="C172" s="22">
        <v>9683093.3499999996</v>
      </c>
      <c r="D172" s="22">
        <v>2019875.81</v>
      </c>
      <c r="E172" s="22">
        <v>1968179.81</v>
      </c>
      <c r="F172" s="23">
        <v>2363280.83</v>
      </c>
      <c r="G172" t="s">
        <v>340</v>
      </c>
    </row>
    <row r="173" spans="1:7" x14ac:dyDescent="0.25">
      <c r="A173" s="20">
        <v>3897</v>
      </c>
      <c r="B173" s="21" t="s">
        <v>865</v>
      </c>
      <c r="C173" s="22">
        <v>2525172.96</v>
      </c>
      <c r="D173" s="22">
        <v>475115.69</v>
      </c>
      <c r="E173" s="22">
        <v>982000.96</v>
      </c>
      <c r="F173" s="23">
        <v>1291108.1000000001</v>
      </c>
      <c r="G173" t="s">
        <v>342</v>
      </c>
    </row>
    <row r="174" spans="1:7" x14ac:dyDescent="0.25">
      <c r="A174" s="20">
        <v>3906</v>
      </c>
      <c r="B174" s="21" t="s">
        <v>866</v>
      </c>
      <c r="C174" s="22">
        <v>6450820.8700000001</v>
      </c>
      <c r="D174" s="22">
        <v>1400261.73</v>
      </c>
      <c r="E174" s="22">
        <v>1603742.91</v>
      </c>
      <c r="F174" s="23">
        <v>1846200.04</v>
      </c>
      <c r="G174" t="s">
        <v>343</v>
      </c>
    </row>
    <row r="175" spans="1:7" x14ac:dyDescent="0.25">
      <c r="A175" s="20">
        <v>3942</v>
      </c>
      <c r="B175" s="21" t="s">
        <v>867</v>
      </c>
      <c r="C175" s="22">
        <v>8461985.6899999995</v>
      </c>
      <c r="D175" s="22">
        <v>982257.88</v>
      </c>
      <c r="E175" s="22">
        <v>1433350.41</v>
      </c>
      <c r="F175" s="23">
        <v>1899583.75</v>
      </c>
      <c r="G175" t="s">
        <v>345</v>
      </c>
    </row>
    <row r="176" spans="1:7" x14ac:dyDescent="0.25">
      <c r="A176" s="20">
        <v>3978</v>
      </c>
      <c r="B176" s="21" t="s">
        <v>868</v>
      </c>
      <c r="C176" s="22">
        <v>7377866.1399999997</v>
      </c>
      <c r="D176" s="22">
        <v>1153723.03</v>
      </c>
      <c r="E176" s="22">
        <v>4183977.46</v>
      </c>
      <c r="F176" s="23">
        <v>4517842.47</v>
      </c>
      <c r="G176" t="s">
        <v>201</v>
      </c>
    </row>
    <row r="177" spans="1:7" x14ac:dyDescent="0.25">
      <c r="A177" s="20">
        <v>4023</v>
      </c>
      <c r="B177" s="21" t="s">
        <v>869</v>
      </c>
      <c r="C177" s="22">
        <v>9499394.9199999999</v>
      </c>
      <c r="D177" s="22">
        <v>2656500.48</v>
      </c>
      <c r="E177" s="22">
        <v>3308827.98</v>
      </c>
      <c r="F177" s="23">
        <v>3424737.06</v>
      </c>
      <c r="G177" t="s">
        <v>347</v>
      </c>
    </row>
    <row r="178" spans="1:7" x14ac:dyDescent="0.25">
      <c r="A178" s="20">
        <v>4033</v>
      </c>
      <c r="B178" s="21" t="s">
        <v>870</v>
      </c>
      <c r="C178" s="22">
        <v>9619025.7200000007</v>
      </c>
      <c r="D178" s="22">
        <v>2973988.89</v>
      </c>
      <c r="E178" s="22">
        <v>2675761.7799999998</v>
      </c>
      <c r="F178" s="23">
        <v>3052534.37</v>
      </c>
      <c r="G178" t="s">
        <v>349</v>
      </c>
    </row>
    <row r="179" spans="1:7" x14ac:dyDescent="0.25">
      <c r="A179" s="20">
        <v>4041</v>
      </c>
      <c r="B179" s="21" t="s">
        <v>871</v>
      </c>
      <c r="C179" s="22">
        <v>18925489.5</v>
      </c>
      <c r="D179" s="22">
        <v>3715287.83</v>
      </c>
      <c r="E179" s="22">
        <v>3368951.39</v>
      </c>
      <c r="F179" s="23">
        <v>3936496.06</v>
      </c>
      <c r="G179" t="s">
        <v>351</v>
      </c>
    </row>
    <row r="180" spans="1:7" x14ac:dyDescent="0.25">
      <c r="A180" s="20">
        <v>4043</v>
      </c>
      <c r="B180" s="21" t="s">
        <v>872</v>
      </c>
      <c r="C180" s="22">
        <v>9099547.4800000004</v>
      </c>
      <c r="D180" s="22">
        <v>1799775.89</v>
      </c>
      <c r="E180" s="22">
        <v>3270984.26</v>
      </c>
      <c r="F180" s="23">
        <v>3453913.42</v>
      </c>
      <c r="G180" t="s">
        <v>353</v>
      </c>
    </row>
    <row r="181" spans="1:7" x14ac:dyDescent="0.25">
      <c r="A181" s="20">
        <v>4068</v>
      </c>
      <c r="B181" s="21" t="s">
        <v>873</v>
      </c>
      <c r="C181" s="22">
        <v>7165990.9400000004</v>
      </c>
      <c r="D181" s="22">
        <v>1759194.45</v>
      </c>
      <c r="E181" s="22">
        <v>734900.56</v>
      </c>
      <c r="F181" s="23">
        <v>1128224.01</v>
      </c>
      <c r="G181" t="s">
        <v>355</v>
      </c>
    </row>
    <row r="182" spans="1:7" x14ac:dyDescent="0.25">
      <c r="A182" s="20">
        <v>4086</v>
      </c>
      <c r="B182" s="21" t="s">
        <v>874</v>
      </c>
      <c r="C182" s="22">
        <v>30960473.16</v>
      </c>
      <c r="D182" s="22">
        <v>10118599.220000001</v>
      </c>
      <c r="E182" s="22">
        <v>6381035.6500000004</v>
      </c>
      <c r="F182" s="23">
        <v>7561385.04</v>
      </c>
      <c r="G182" t="s">
        <v>357</v>
      </c>
    </row>
    <row r="183" spans="1:7" x14ac:dyDescent="0.25">
      <c r="A183" s="20">
        <v>4104</v>
      </c>
      <c r="B183" s="21" t="s">
        <v>875</v>
      </c>
      <c r="C183" s="22">
        <v>68977232</v>
      </c>
      <c r="D183" s="22">
        <v>10462417.880000001</v>
      </c>
      <c r="E183" s="22">
        <v>14233878.460000001</v>
      </c>
      <c r="F183" s="23">
        <v>16599164.390000001</v>
      </c>
      <c r="G183" t="s">
        <v>359</v>
      </c>
    </row>
    <row r="184" spans="1:7" x14ac:dyDescent="0.25">
      <c r="A184" s="20">
        <v>4122</v>
      </c>
      <c r="B184" s="21" t="s">
        <v>876</v>
      </c>
      <c r="C184" s="22">
        <v>7746500.8700000001</v>
      </c>
      <c r="D184" s="22">
        <v>1743772.39</v>
      </c>
      <c r="E184" s="22">
        <v>916470.91</v>
      </c>
      <c r="F184" s="23">
        <v>1492151</v>
      </c>
      <c r="G184" t="s">
        <v>361</v>
      </c>
    </row>
    <row r="185" spans="1:7" x14ac:dyDescent="0.25">
      <c r="A185" s="20">
        <v>4131</v>
      </c>
      <c r="B185" s="21" t="s">
        <v>877</v>
      </c>
      <c r="C185" s="22">
        <v>54530679.590000004</v>
      </c>
      <c r="D185" s="22">
        <v>8942218.1400000006</v>
      </c>
      <c r="E185" s="22">
        <v>6974838.9199999999</v>
      </c>
      <c r="F185" s="23">
        <v>7394728.0999999996</v>
      </c>
      <c r="G185" t="s">
        <v>363</v>
      </c>
    </row>
    <row r="186" spans="1:7" x14ac:dyDescent="0.25">
      <c r="A186" s="20">
        <v>4149</v>
      </c>
      <c r="B186" s="21" t="s">
        <v>878</v>
      </c>
      <c r="C186" s="22">
        <v>18382353.079999998</v>
      </c>
      <c r="D186" s="22">
        <v>2303345.84</v>
      </c>
      <c r="E186" s="22">
        <v>4525396.0599999996</v>
      </c>
      <c r="F186" s="23">
        <v>4750480.47</v>
      </c>
      <c r="G186" t="s">
        <v>377</v>
      </c>
    </row>
    <row r="187" spans="1:7" x14ac:dyDescent="0.25">
      <c r="A187" s="20">
        <v>4203</v>
      </c>
      <c r="B187" s="21" t="s">
        <v>879</v>
      </c>
      <c r="C187" s="22">
        <v>10966828.109999999</v>
      </c>
      <c r="D187" s="22">
        <v>2430681.8199999998</v>
      </c>
      <c r="E187" s="22">
        <v>3073605.95</v>
      </c>
      <c r="F187" s="23">
        <v>3421937.58</v>
      </c>
      <c r="G187" t="s">
        <v>365</v>
      </c>
    </row>
    <row r="188" spans="1:7" x14ac:dyDescent="0.25">
      <c r="A188" s="20">
        <v>4212</v>
      </c>
      <c r="B188" s="21" t="s">
        <v>880</v>
      </c>
      <c r="C188" s="22">
        <v>4456921.4800000004</v>
      </c>
      <c r="D188" s="22">
        <v>870203.72</v>
      </c>
      <c r="E188" s="22">
        <v>1779373.59</v>
      </c>
      <c r="F188" s="23">
        <v>1939402.71</v>
      </c>
      <c r="G188" t="s">
        <v>367</v>
      </c>
    </row>
    <row r="189" spans="1:7" x14ac:dyDescent="0.25">
      <c r="A189" s="20">
        <v>4269</v>
      </c>
      <c r="B189" s="21" t="s">
        <v>881</v>
      </c>
      <c r="C189" s="22">
        <v>9161152.6300000008</v>
      </c>
      <c r="D189" s="22">
        <v>1806987.66</v>
      </c>
      <c r="E189" s="22">
        <v>18672.27</v>
      </c>
      <c r="F189" s="23">
        <v>960070.56</v>
      </c>
      <c r="G189" t="s">
        <v>371</v>
      </c>
    </row>
    <row r="190" spans="1:7" x14ac:dyDescent="0.25">
      <c r="A190" s="20">
        <v>4271</v>
      </c>
      <c r="B190" s="21" t="s">
        <v>882</v>
      </c>
      <c r="C190" s="22">
        <v>19413207.440000001</v>
      </c>
      <c r="D190" s="22">
        <v>5628586.7599999998</v>
      </c>
      <c r="E190" s="22">
        <v>3779692.27</v>
      </c>
      <c r="F190" s="23">
        <v>4428057.95</v>
      </c>
      <c r="G190" t="s">
        <v>373</v>
      </c>
    </row>
    <row r="191" spans="1:7" x14ac:dyDescent="0.25">
      <c r="A191" s="20">
        <v>4356</v>
      </c>
      <c r="B191" s="21" t="s">
        <v>883</v>
      </c>
      <c r="C191" s="22">
        <v>11078678.66</v>
      </c>
      <c r="D191" s="22">
        <v>2048812.24</v>
      </c>
      <c r="E191" s="22">
        <v>1909124.11</v>
      </c>
      <c r="F191" s="23">
        <v>2011190.23</v>
      </c>
      <c r="G191" t="s">
        <v>375</v>
      </c>
    </row>
    <row r="192" spans="1:7" x14ac:dyDescent="0.25">
      <c r="A192" s="20">
        <v>4419</v>
      </c>
      <c r="B192" s="21" t="s">
        <v>884</v>
      </c>
      <c r="C192" s="22">
        <v>10279217.91</v>
      </c>
      <c r="D192" s="22">
        <v>2006361.25</v>
      </c>
      <c r="E192" s="22">
        <v>2876719.33</v>
      </c>
      <c r="F192" s="23">
        <v>3158314.83</v>
      </c>
      <c r="G192" t="s">
        <v>369</v>
      </c>
    </row>
    <row r="193" spans="1:7" x14ac:dyDescent="0.25">
      <c r="A193" s="20">
        <v>4437</v>
      </c>
      <c r="B193" s="21" t="s">
        <v>885</v>
      </c>
      <c r="C193" s="22">
        <v>6307903.5199999996</v>
      </c>
      <c r="D193" s="22">
        <v>1155159.44</v>
      </c>
      <c r="E193" s="22">
        <v>2126307</v>
      </c>
      <c r="F193" s="23">
        <v>2502585.35</v>
      </c>
      <c r="G193" t="s">
        <v>379</v>
      </c>
    </row>
    <row r="194" spans="1:7" x14ac:dyDescent="0.25">
      <c r="A194" s="20">
        <v>4446</v>
      </c>
      <c r="B194" s="21" t="s">
        <v>886</v>
      </c>
      <c r="C194" s="22">
        <v>13545829.560000001</v>
      </c>
      <c r="D194" s="22">
        <v>2162592.14</v>
      </c>
      <c r="E194" s="22">
        <v>1767576.4</v>
      </c>
      <c r="F194" s="23">
        <v>2078593.81</v>
      </c>
      <c r="G194" t="s">
        <v>381</v>
      </c>
    </row>
    <row r="195" spans="1:7" x14ac:dyDescent="0.25">
      <c r="A195" s="20">
        <v>4491</v>
      </c>
      <c r="B195" s="21" t="s">
        <v>887</v>
      </c>
      <c r="C195" s="22">
        <v>5209508.3899999997</v>
      </c>
      <c r="D195" s="22">
        <v>1649904.89</v>
      </c>
      <c r="E195" s="22">
        <v>2210048.56</v>
      </c>
      <c r="F195" s="23">
        <v>2430281.67</v>
      </c>
      <c r="G195" t="s">
        <v>383</v>
      </c>
    </row>
    <row r="196" spans="1:7" x14ac:dyDescent="0.25">
      <c r="A196" s="20">
        <v>4505</v>
      </c>
      <c r="B196" s="21" t="s">
        <v>888</v>
      </c>
      <c r="C196" s="22">
        <v>4059872.59</v>
      </c>
      <c r="D196" s="22">
        <v>1919993.25</v>
      </c>
      <c r="E196" s="22">
        <v>974258.38</v>
      </c>
      <c r="F196" s="23">
        <v>1088494.99</v>
      </c>
      <c r="G196" t="s">
        <v>385</v>
      </c>
    </row>
    <row r="197" spans="1:7" x14ac:dyDescent="0.25">
      <c r="A197" s="20">
        <v>4509</v>
      </c>
      <c r="B197" s="21" t="s">
        <v>889</v>
      </c>
      <c r="C197" s="22">
        <v>2580079.0099999998</v>
      </c>
      <c r="D197" s="22">
        <v>540221.27</v>
      </c>
      <c r="E197" s="22">
        <v>1757438.14</v>
      </c>
      <c r="F197" s="23">
        <v>1844464.93</v>
      </c>
      <c r="G197" t="s">
        <v>387</v>
      </c>
    </row>
    <row r="198" spans="1:7" x14ac:dyDescent="0.25">
      <c r="A198" s="20">
        <v>4518</v>
      </c>
      <c r="B198" s="21" t="s">
        <v>890</v>
      </c>
      <c r="C198" s="22">
        <v>3026017.64</v>
      </c>
      <c r="D198" s="22">
        <v>479644.64</v>
      </c>
      <c r="E198" s="22">
        <v>402115.7</v>
      </c>
      <c r="F198" s="23">
        <v>807210.35</v>
      </c>
      <c r="G198" t="s">
        <v>389</v>
      </c>
    </row>
    <row r="199" spans="1:7" x14ac:dyDescent="0.25">
      <c r="A199" s="20">
        <v>4527</v>
      </c>
      <c r="B199" s="21" t="s">
        <v>891</v>
      </c>
      <c r="C199" s="22">
        <v>8969441.9000000004</v>
      </c>
      <c r="D199" s="22">
        <v>2309189.61</v>
      </c>
      <c r="E199" s="22">
        <v>2478054.04</v>
      </c>
      <c r="F199" s="23">
        <v>2901581.54</v>
      </c>
      <c r="G199" t="s">
        <v>391</v>
      </c>
    </row>
    <row r="200" spans="1:7" x14ac:dyDescent="0.25">
      <c r="A200" s="20">
        <v>4536</v>
      </c>
      <c r="B200" s="21" t="s">
        <v>892</v>
      </c>
      <c r="C200" s="22">
        <v>24307106.379999999</v>
      </c>
      <c r="D200" s="22">
        <v>4187789.62</v>
      </c>
      <c r="E200" s="22">
        <v>4107535.32</v>
      </c>
      <c r="F200" s="23">
        <v>5266207.37</v>
      </c>
      <c r="G200" t="s">
        <v>393</v>
      </c>
    </row>
    <row r="201" spans="1:7" x14ac:dyDescent="0.25">
      <c r="A201" s="20">
        <v>4554</v>
      </c>
      <c r="B201" s="21" t="s">
        <v>893</v>
      </c>
      <c r="C201" s="22">
        <v>16648364.35</v>
      </c>
      <c r="D201" s="22">
        <v>3956290.32</v>
      </c>
      <c r="E201" s="22">
        <v>1836287.13</v>
      </c>
      <c r="F201" s="23">
        <v>2186000.15</v>
      </c>
      <c r="G201" t="s">
        <v>395</v>
      </c>
    </row>
    <row r="202" spans="1:7" x14ac:dyDescent="0.25">
      <c r="A202" s="20">
        <v>4572</v>
      </c>
      <c r="B202" s="21" t="s">
        <v>894</v>
      </c>
      <c r="C202" s="22">
        <v>3758441.54</v>
      </c>
      <c r="D202" s="22">
        <v>971331.97</v>
      </c>
      <c r="E202" s="22">
        <v>1682641.11</v>
      </c>
      <c r="F202" s="23">
        <v>1905128.66</v>
      </c>
      <c r="G202" t="s">
        <v>397</v>
      </c>
    </row>
    <row r="203" spans="1:7" x14ac:dyDescent="0.25">
      <c r="A203" s="20">
        <v>4581</v>
      </c>
      <c r="B203" s="21" t="s">
        <v>895</v>
      </c>
      <c r="C203" s="22">
        <v>58188534.049999997</v>
      </c>
      <c r="D203" s="22">
        <v>7315490.4100000001</v>
      </c>
      <c r="E203" s="22">
        <v>10916990.68</v>
      </c>
      <c r="F203" s="23">
        <v>11939086.970000001</v>
      </c>
      <c r="G203" t="s">
        <v>399</v>
      </c>
    </row>
    <row r="204" spans="1:7" x14ac:dyDescent="0.25">
      <c r="A204" s="20">
        <v>4599</v>
      </c>
      <c r="B204" s="21" t="s">
        <v>896</v>
      </c>
      <c r="C204" s="22">
        <v>7836648.04</v>
      </c>
      <c r="D204" s="22">
        <v>1236665.82</v>
      </c>
      <c r="E204" s="22">
        <v>2334123.38</v>
      </c>
      <c r="F204" s="23">
        <v>2451836.4</v>
      </c>
      <c r="G204" t="s">
        <v>401</v>
      </c>
    </row>
    <row r="205" spans="1:7" x14ac:dyDescent="0.25">
      <c r="A205" s="20">
        <v>4617</v>
      </c>
      <c r="B205" s="21" t="s">
        <v>897</v>
      </c>
      <c r="C205" s="22">
        <v>20576105.780000001</v>
      </c>
      <c r="D205" s="22">
        <v>3554324.73</v>
      </c>
      <c r="E205" s="22">
        <v>2661219.08</v>
      </c>
      <c r="F205" s="23">
        <v>3391491.16</v>
      </c>
      <c r="G205" t="s">
        <v>403</v>
      </c>
    </row>
    <row r="206" spans="1:7" x14ac:dyDescent="0.25">
      <c r="A206" s="20">
        <v>4644</v>
      </c>
      <c r="B206" s="21" t="s">
        <v>898</v>
      </c>
      <c r="C206" s="22">
        <v>6683333.5599999996</v>
      </c>
      <c r="D206" s="22">
        <v>1537563.37</v>
      </c>
      <c r="E206" s="22">
        <v>695218.03</v>
      </c>
      <c r="F206" s="23">
        <v>885736.8</v>
      </c>
      <c r="G206" t="s">
        <v>409</v>
      </c>
    </row>
    <row r="207" spans="1:7" x14ac:dyDescent="0.25">
      <c r="A207" s="20">
        <v>4662</v>
      </c>
      <c r="B207" s="21" t="s">
        <v>899</v>
      </c>
      <c r="C207" s="22">
        <v>12785049.189999999</v>
      </c>
      <c r="D207" s="22">
        <v>2061258.65</v>
      </c>
      <c r="E207" s="22">
        <v>2089215.15</v>
      </c>
      <c r="F207" s="23">
        <v>2424902.1800000002</v>
      </c>
      <c r="G207" t="s">
        <v>405</v>
      </c>
    </row>
    <row r="208" spans="1:7" x14ac:dyDescent="0.25">
      <c r="A208" s="20">
        <v>4689</v>
      </c>
      <c r="B208" s="21" t="s">
        <v>900</v>
      </c>
      <c r="C208" s="22">
        <v>7290950.5300000003</v>
      </c>
      <c r="D208" s="22">
        <v>1624001.14</v>
      </c>
      <c r="E208" s="22">
        <v>713146.24</v>
      </c>
      <c r="F208" s="23">
        <v>1132809.83</v>
      </c>
      <c r="G208" t="s">
        <v>407</v>
      </c>
    </row>
    <row r="209" spans="1:7" x14ac:dyDescent="0.25">
      <c r="A209" s="20">
        <v>4725</v>
      </c>
      <c r="B209" s="21" t="s">
        <v>901</v>
      </c>
      <c r="C209" s="22">
        <v>37477808.280000001</v>
      </c>
      <c r="D209" s="22">
        <v>4854934.99</v>
      </c>
      <c r="E209" s="22">
        <v>4794834.54</v>
      </c>
      <c r="F209" s="23">
        <v>5330004.3</v>
      </c>
      <c r="G209" t="s">
        <v>411</v>
      </c>
    </row>
    <row r="210" spans="1:7" x14ac:dyDescent="0.25">
      <c r="A210" s="20">
        <v>4772</v>
      </c>
      <c r="B210" s="21" t="s">
        <v>902</v>
      </c>
      <c r="C210" s="22">
        <v>10671376.82</v>
      </c>
      <c r="D210" s="22">
        <v>2427820.9500000002</v>
      </c>
      <c r="E210" s="22">
        <v>2841285.31</v>
      </c>
      <c r="F210" s="23">
        <v>3517026.55</v>
      </c>
      <c r="G210" t="s">
        <v>116</v>
      </c>
    </row>
    <row r="211" spans="1:7" x14ac:dyDescent="0.25">
      <c r="A211" s="20">
        <v>4773</v>
      </c>
      <c r="B211" s="21" t="s">
        <v>903</v>
      </c>
      <c r="C211" s="22">
        <v>11278351.18</v>
      </c>
      <c r="D211" s="22">
        <v>4946889.6399999997</v>
      </c>
      <c r="E211" s="22">
        <v>209737.2</v>
      </c>
      <c r="F211" s="23">
        <v>985612.39</v>
      </c>
      <c r="G211" t="s">
        <v>437</v>
      </c>
    </row>
    <row r="212" spans="1:7" x14ac:dyDescent="0.25">
      <c r="A212" s="20">
        <v>4774</v>
      </c>
      <c r="B212" s="21" t="s">
        <v>904</v>
      </c>
      <c r="C212" s="22">
        <v>15034354.470000001</v>
      </c>
      <c r="D212" s="22">
        <v>2027584.23</v>
      </c>
      <c r="E212" s="22">
        <v>1374388.96</v>
      </c>
      <c r="F212" s="23">
        <v>2091982.97</v>
      </c>
      <c r="G212" t="s">
        <v>419</v>
      </c>
    </row>
    <row r="213" spans="1:7" x14ac:dyDescent="0.25">
      <c r="A213" s="20">
        <v>4776</v>
      </c>
      <c r="B213" s="21" t="s">
        <v>905</v>
      </c>
      <c r="C213" s="22">
        <v>7470120.21</v>
      </c>
      <c r="D213" s="22">
        <v>2073045.63</v>
      </c>
      <c r="E213" s="22">
        <v>2029996.59</v>
      </c>
      <c r="F213" s="23">
        <v>2609954.77</v>
      </c>
      <c r="G213" t="s">
        <v>427</v>
      </c>
    </row>
    <row r="214" spans="1:7" x14ac:dyDescent="0.25">
      <c r="A214" s="20">
        <v>4777</v>
      </c>
      <c r="B214" s="21" t="s">
        <v>906</v>
      </c>
      <c r="C214" s="22">
        <v>7479803.79</v>
      </c>
      <c r="D214" s="22">
        <v>1437137.02</v>
      </c>
      <c r="E214" s="22">
        <v>4223130.28</v>
      </c>
      <c r="F214" s="23">
        <v>4573941.26</v>
      </c>
      <c r="G214" t="s">
        <v>425</v>
      </c>
    </row>
    <row r="215" spans="1:7" x14ac:dyDescent="0.25">
      <c r="A215" s="20">
        <v>4778</v>
      </c>
      <c r="B215" s="21" t="s">
        <v>907</v>
      </c>
      <c r="C215" s="22">
        <v>5075612.29</v>
      </c>
      <c r="D215" s="22">
        <v>1946293.44</v>
      </c>
      <c r="E215" s="22">
        <v>1976277.77</v>
      </c>
      <c r="F215" s="23">
        <v>2075087.93</v>
      </c>
      <c r="G215" t="s">
        <v>423</v>
      </c>
    </row>
    <row r="216" spans="1:7" x14ac:dyDescent="0.25">
      <c r="A216" s="20">
        <v>4779</v>
      </c>
      <c r="B216" s="21" t="s">
        <v>908</v>
      </c>
      <c r="C216" s="22">
        <v>23071825.07</v>
      </c>
      <c r="D216" s="22">
        <v>2672478.4300000002</v>
      </c>
      <c r="E216" s="22">
        <v>1231746.6200000001</v>
      </c>
      <c r="F216" s="23">
        <v>1921446.17</v>
      </c>
      <c r="G216" t="s">
        <v>429</v>
      </c>
    </row>
    <row r="217" spans="1:7" x14ac:dyDescent="0.25">
      <c r="A217" s="20">
        <v>4784</v>
      </c>
      <c r="B217" s="21" t="s">
        <v>909</v>
      </c>
      <c r="C217" s="22">
        <v>37246951.640000001</v>
      </c>
      <c r="D217" s="22">
        <v>4161103.78</v>
      </c>
      <c r="E217" s="22">
        <v>7430662.6299999999</v>
      </c>
      <c r="F217" s="23">
        <v>8943212.1600000001</v>
      </c>
      <c r="G217" t="s">
        <v>431</v>
      </c>
    </row>
    <row r="218" spans="1:7" x14ac:dyDescent="0.25">
      <c r="A218" s="20">
        <v>4785</v>
      </c>
      <c r="B218" s="21" t="s">
        <v>910</v>
      </c>
      <c r="C218" s="22">
        <v>6476423.7699999996</v>
      </c>
      <c r="D218" s="22">
        <v>1044222.47</v>
      </c>
      <c r="E218" s="22">
        <v>1336392.76</v>
      </c>
      <c r="F218" s="23">
        <v>1932756.9</v>
      </c>
      <c r="G218" t="s">
        <v>433</v>
      </c>
    </row>
    <row r="219" spans="1:7" x14ac:dyDescent="0.25">
      <c r="A219" s="20">
        <v>4788</v>
      </c>
      <c r="B219" s="21" t="s">
        <v>911</v>
      </c>
      <c r="C219" s="22">
        <v>7196843.1200000001</v>
      </c>
      <c r="D219" s="22">
        <v>1297157.98</v>
      </c>
      <c r="E219" s="22">
        <v>1344127.24</v>
      </c>
      <c r="F219" s="23">
        <v>1760955.39</v>
      </c>
      <c r="G219" t="s">
        <v>440</v>
      </c>
    </row>
    <row r="220" spans="1:7" x14ac:dyDescent="0.25">
      <c r="A220" s="20">
        <v>4797</v>
      </c>
      <c r="B220" s="21" t="s">
        <v>912</v>
      </c>
      <c r="C220" s="22">
        <v>38256376.109999999</v>
      </c>
      <c r="D220" s="22">
        <v>4576651.5199999996</v>
      </c>
      <c r="E220" s="22">
        <v>7093107.6600000001</v>
      </c>
      <c r="F220" s="23">
        <v>9579320.1400000006</v>
      </c>
      <c r="G220" t="s">
        <v>442</v>
      </c>
    </row>
    <row r="221" spans="1:7" ht="30" x14ac:dyDescent="0.25">
      <c r="A221" s="20">
        <v>4860</v>
      </c>
      <c r="B221" s="21" t="s">
        <v>913</v>
      </c>
      <c r="C221" s="22">
        <v>11548824.369999999</v>
      </c>
      <c r="D221" s="22">
        <v>1368420.15</v>
      </c>
      <c r="E221" s="22">
        <v>2942217.84</v>
      </c>
      <c r="F221" s="23">
        <v>3570296.74</v>
      </c>
      <c r="G221" t="s">
        <v>444</v>
      </c>
    </row>
    <row r="222" spans="1:7" x14ac:dyDescent="0.25">
      <c r="A222" s="20">
        <v>4869</v>
      </c>
      <c r="B222" s="21" t="s">
        <v>914</v>
      </c>
      <c r="C222" s="22">
        <v>19448881.57</v>
      </c>
      <c r="D222" s="22">
        <v>4884782.79</v>
      </c>
      <c r="E222" s="22">
        <v>3238000.73</v>
      </c>
      <c r="F222" s="23">
        <v>3786364.14</v>
      </c>
      <c r="G222" t="s">
        <v>446</v>
      </c>
    </row>
    <row r="223" spans="1:7" x14ac:dyDescent="0.25">
      <c r="A223" s="20">
        <v>4878</v>
      </c>
      <c r="B223" s="21" t="s">
        <v>915</v>
      </c>
      <c r="C223" s="22">
        <v>8405443.3800000008</v>
      </c>
      <c r="D223" s="22">
        <v>1958023.79</v>
      </c>
      <c r="E223" s="22">
        <v>3248996.59</v>
      </c>
      <c r="F223" s="23">
        <v>3457420.34</v>
      </c>
      <c r="G223" t="s">
        <v>448</v>
      </c>
    </row>
    <row r="224" spans="1:7" x14ac:dyDescent="0.25">
      <c r="A224" s="20">
        <v>4890</v>
      </c>
      <c r="B224" s="21" t="s">
        <v>916</v>
      </c>
      <c r="C224" s="22">
        <v>14830365.890000001</v>
      </c>
      <c r="D224" s="22">
        <v>3009616.56</v>
      </c>
      <c r="E224" s="22">
        <v>3723380.15</v>
      </c>
      <c r="F224" s="23">
        <v>4139429.31</v>
      </c>
      <c r="G224" t="s">
        <v>450</v>
      </c>
    </row>
    <row r="225" spans="1:7" x14ac:dyDescent="0.25">
      <c r="A225" s="20">
        <v>4905</v>
      </c>
      <c r="B225" s="21" t="s">
        <v>917</v>
      </c>
      <c r="C225" s="22">
        <v>2783276.78</v>
      </c>
      <c r="D225" s="22">
        <v>395708.01</v>
      </c>
      <c r="E225" s="22">
        <v>2524888.08</v>
      </c>
      <c r="F225" s="23">
        <v>2784547.45</v>
      </c>
      <c r="G225" t="s">
        <v>452</v>
      </c>
    </row>
    <row r="226" spans="1:7" x14ac:dyDescent="0.25">
      <c r="A226" s="20">
        <v>4978</v>
      </c>
      <c r="B226" s="21" t="s">
        <v>918</v>
      </c>
      <c r="C226" s="22">
        <v>3211235.68</v>
      </c>
      <c r="D226" s="22">
        <v>769365.97</v>
      </c>
      <c r="E226" s="22">
        <v>133746.57999999999</v>
      </c>
      <c r="F226" s="23">
        <v>327066.39</v>
      </c>
      <c r="G226" t="s">
        <v>454</v>
      </c>
    </row>
    <row r="227" spans="1:7" x14ac:dyDescent="0.25">
      <c r="A227" s="20">
        <v>4995</v>
      </c>
      <c r="B227" s="21" t="s">
        <v>919</v>
      </c>
      <c r="C227" s="22">
        <v>11751157.460000001</v>
      </c>
      <c r="D227" s="22">
        <v>2049670.06</v>
      </c>
      <c r="E227" s="22">
        <v>2614264.56</v>
      </c>
      <c r="F227" s="23">
        <v>3140825.79</v>
      </c>
      <c r="G227" t="s">
        <v>456</v>
      </c>
    </row>
    <row r="228" spans="1:7" x14ac:dyDescent="0.25">
      <c r="A228" s="20">
        <v>5013</v>
      </c>
      <c r="B228" s="21" t="s">
        <v>920</v>
      </c>
      <c r="C228" s="22">
        <v>28963380.210000001</v>
      </c>
      <c r="D228" s="22">
        <v>4223652.62</v>
      </c>
      <c r="E228" s="22">
        <v>3935991.03</v>
      </c>
      <c r="F228" s="23">
        <v>5340547.1900000004</v>
      </c>
      <c r="G228" t="s">
        <v>458</v>
      </c>
    </row>
    <row r="229" spans="1:7" x14ac:dyDescent="0.25">
      <c r="A229" s="20">
        <v>5049</v>
      </c>
      <c r="B229" s="21" t="s">
        <v>921</v>
      </c>
      <c r="C229" s="22">
        <v>64193931.229999997</v>
      </c>
      <c r="D229" s="22">
        <v>10740863.16</v>
      </c>
      <c r="E229" s="22">
        <v>11157587.51</v>
      </c>
      <c r="F229" s="23">
        <v>12608602.130000001</v>
      </c>
      <c r="G229" t="s">
        <v>460</v>
      </c>
    </row>
    <row r="230" spans="1:7" x14ac:dyDescent="0.25">
      <c r="A230" s="20">
        <v>5121</v>
      </c>
      <c r="B230" s="21" t="s">
        <v>922</v>
      </c>
      <c r="C230" s="22">
        <v>9074548.3599999994</v>
      </c>
      <c r="D230" s="22">
        <v>1122301.5900000001</v>
      </c>
      <c r="E230" s="22">
        <v>1729333.58</v>
      </c>
      <c r="F230" s="23">
        <v>1823499.52</v>
      </c>
      <c r="G230" t="s">
        <v>462</v>
      </c>
    </row>
    <row r="231" spans="1:7" x14ac:dyDescent="0.25">
      <c r="A231" s="20">
        <v>5139</v>
      </c>
      <c r="B231" s="21" t="s">
        <v>923</v>
      </c>
      <c r="C231" s="22">
        <v>3114003.99</v>
      </c>
      <c r="D231" s="22">
        <v>641744.59</v>
      </c>
      <c r="E231" s="22">
        <v>796842.17</v>
      </c>
      <c r="F231" s="23">
        <v>1155463.25</v>
      </c>
      <c r="G231" t="s">
        <v>464</v>
      </c>
    </row>
    <row r="232" spans="1:7" x14ac:dyDescent="0.25">
      <c r="A232" s="20">
        <v>5160</v>
      </c>
      <c r="B232" s="21" t="s">
        <v>924</v>
      </c>
      <c r="C232" s="22">
        <v>13250117.07</v>
      </c>
      <c r="D232" s="22">
        <v>1995106.13</v>
      </c>
      <c r="E232" s="22">
        <v>3532028.46</v>
      </c>
      <c r="F232" s="23">
        <v>3973415.75</v>
      </c>
      <c r="G232" t="s">
        <v>467</v>
      </c>
    </row>
    <row r="233" spans="1:7" x14ac:dyDescent="0.25">
      <c r="A233" s="20">
        <v>5163</v>
      </c>
      <c r="B233" s="21" t="s">
        <v>925</v>
      </c>
      <c r="C233" s="22">
        <v>9667796.7699999996</v>
      </c>
      <c r="D233" s="22">
        <v>2354980.89</v>
      </c>
      <c r="E233" s="22">
        <v>1358610.83</v>
      </c>
      <c r="F233" s="23">
        <v>1650895.29</v>
      </c>
      <c r="G233" t="s">
        <v>469</v>
      </c>
    </row>
    <row r="234" spans="1:7" x14ac:dyDescent="0.25">
      <c r="A234" s="20">
        <v>5166</v>
      </c>
      <c r="B234" s="21" t="s">
        <v>926</v>
      </c>
      <c r="C234" s="22">
        <v>28687745.23</v>
      </c>
      <c r="D234" s="22">
        <v>4239030</v>
      </c>
      <c r="E234" s="22">
        <v>4099870</v>
      </c>
      <c r="F234" s="23">
        <v>4637787</v>
      </c>
      <c r="G234" t="s">
        <v>471</v>
      </c>
    </row>
    <row r="235" spans="1:7" x14ac:dyDescent="0.25">
      <c r="A235" s="20">
        <v>5184</v>
      </c>
      <c r="B235" s="21" t="s">
        <v>927</v>
      </c>
      <c r="C235" s="22">
        <v>25396582.120000001</v>
      </c>
      <c r="D235" s="22">
        <v>4834089.3600000003</v>
      </c>
      <c r="E235" s="22">
        <v>4990029.4400000004</v>
      </c>
      <c r="F235" s="23">
        <v>5758277.2199999997</v>
      </c>
      <c r="G235" t="s">
        <v>473</v>
      </c>
    </row>
    <row r="236" spans="1:7" x14ac:dyDescent="0.25">
      <c r="A236" s="20">
        <v>5250</v>
      </c>
      <c r="B236" s="21" t="s">
        <v>928</v>
      </c>
      <c r="C236" s="22">
        <v>61734275.829999998</v>
      </c>
      <c r="D236" s="22">
        <v>5620448.4299999997</v>
      </c>
      <c r="E236" s="22">
        <v>10319009.67</v>
      </c>
      <c r="F236" s="23">
        <v>11942859.710000001</v>
      </c>
      <c r="G236" t="s">
        <v>475</v>
      </c>
    </row>
    <row r="237" spans="1:7" x14ac:dyDescent="0.25">
      <c r="A237" s="20">
        <v>5256</v>
      </c>
      <c r="B237" s="21" t="s">
        <v>929</v>
      </c>
      <c r="C237" s="22">
        <v>8945954.4199999999</v>
      </c>
      <c r="D237" s="22">
        <v>1505203.8</v>
      </c>
      <c r="E237" s="22">
        <v>2095097.76</v>
      </c>
      <c r="F237" s="23">
        <v>2095097.76</v>
      </c>
      <c r="G237" t="s">
        <v>477</v>
      </c>
    </row>
    <row r="238" spans="1:7" x14ac:dyDescent="0.25">
      <c r="A238" s="20">
        <v>5283</v>
      </c>
      <c r="B238" s="21" t="s">
        <v>930</v>
      </c>
      <c r="C238" s="22">
        <v>9824584.4299999997</v>
      </c>
      <c r="D238" s="22">
        <v>1836726.74</v>
      </c>
      <c r="E238" s="22">
        <v>1883878.44</v>
      </c>
      <c r="F238" s="23">
        <v>2139488.54</v>
      </c>
      <c r="G238" t="s">
        <v>479</v>
      </c>
    </row>
    <row r="239" spans="1:7" x14ac:dyDescent="0.25">
      <c r="A239" s="20">
        <v>5310</v>
      </c>
      <c r="B239" s="21" t="s">
        <v>931</v>
      </c>
      <c r="C239" s="22">
        <v>9913640.3599999994</v>
      </c>
      <c r="D239" s="22">
        <v>2179392.92</v>
      </c>
      <c r="E239" s="22">
        <v>1605465.08</v>
      </c>
      <c r="F239" s="23">
        <v>2230573.14</v>
      </c>
      <c r="G239" t="s">
        <v>481</v>
      </c>
    </row>
    <row r="240" spans="1:7" x14ac:dyDescent="0.25">
      <c r="A240" s="20">
        <v>5325</v>
      </c>
      <c r="B240" s="21" t="s">
        <v>932</v>
      </c>
      <c r="C240" s="22">
        <v>8990965.6699999999</v>
      </c>
      <c r="D240" s="22">
        <v>2698295.85</v>
      </c>
      <c r="E240" s="22">
        <v>4313952.7</v>
      </c>
      <c r="F240" s="23">
        <v>4418487.75</v>
      </c>
      <c r="G240" s="32" t="s">
        <v>483</v>
      </c>
    </row>
    <row r="241" spans="1:7" x14ac:dyDescent="0.25">
      <c r="A241" s="20">
        <v>5463</v>
      </c>
      <c r="B241" s="21" t="s">
        <v>933</v>
      </c>
      <c r="C241" s="22">
        <v>13779988.57</v>
      </c>
      <c r="D241" s="22">
        <v>3373033.65</v>
      </c>
      <c r="E241" s="22">
        <v>4097316.65</v>
      </c>
      <c r="F241" s="23">
        <v>4839893.47</v>
      </c>
      <c r="G241" t="s">
        <v>484</v>
      </c>
    </row>
    <row r="242" spans="1:7" x14ac:dyDescent="0.25">
      <c r="A242" s="20">
        <v>5486</v>
      </c>
      <c r="B242" s="21" t="s">
        <v>934</v>
      </c>
      <c r="C242" s="22">
        <v>5393282.54</v>
      </c>
      <c r="D242" s="22">
        <v>1551024.23</v>
      </c>
      <c r="E242" s="22">
        <v>1835045.95</v>
      </c>
      <c r="F242" s="23">
        <v>2004825.1</v>
      </c>
      <c r="G242" t="s">
        <v>486</v>
      </c>
    </row>
    <row r="243" spans="1:7" x14ac:dyDescent="0.25">
      <c r="A243" s="20">
        <v>5508</v>
      </c>
      <c r="B243" s="21" t="s">
        <v>935</v>
      </c>
      <c r="C243" s="22">
        <v>5457615.3300000001</v>
      </c>
      <c r="D243" s="22">
        <v>1827647.5</v>
      </c>
      <c r="E243" s="22">
        <v>1849531.32</v>
      </c>
      <c r="F243" s="23">
        <v>1895464.7</v>
      </c>
      <c r="G243" t="s">
        <v>488</v>
      </c>
    </row>
    <row r="244" spans="1:7" x14ac:dyDescent="0.25">
      <c r="A244" s="20">
        <v>5510</v>
      </c>
      <c r="B244" s="21" t="s">
        <v>936</v>
      </c>
      <c r="C244" s="22">
        <v>9488000.3200000003</v>
      </c>
      <c r="D244" s="22">
        <v>1259732.1000000001</v>
      </c>
      <c r="E244" s="22">
        <v>931127.28</v>
      </c>
      <c r="F244" s="23">
        <v>1143842.77</v>
      </c>
      <c r="G244" t="s">
        <v>493</v>
      </c>
    </row>
    <row r="245" spans="1:7" x14ac:dyDescent="0.25">
      <c r="A245" s="20">
        <v>5607</v>
      </c>
      <c r="B245" s="21" t="s">
        <v>937</v>
      </c>
      <c r="C245" s="22">
        <v>11734415.880000001</v>
      </c>
      <c r="D245" s="22">
        <v>2008919.3</v>
      </c>
      <c r="E245" s="22">
        <v>3248412.31</v>
      </c>
      <c r="F245" s="23">
        <v>3580603.03</v>
      </c>
      <c r="G245" t="s">
        <v>495</v>
      </c>
    </row>
    <row r="246" spans="1:7" x14ac:dyDescent="0.25">
      <c r="A246" s="20">
        <v>5643</v>
      </c>
      <c r="B246" s="21" t="s">
        <v>938</v>
      </c>
      <c r="C246" s="22">
        <v>12660443.68</v>
      </c>
      <c r="D246" s="22">
        <v>2231351.9700000002</v>
      </c>
      <c r="E246" s="22">
        <v>2494576.6800000002</v>
      </c>
      <c r="F246" s="23">
        <v>2976468.42</v>
      </c>
      <c r="G246" t="s">
        <v>497</v>
      </c>
    </row>
    <row r="247" spans="1:7" x14ac:dyDescent="0.25">
      <c r="A247" s="20">
        <v>5697</v>
      </c>
      <c r="B247" s="21" t="s">
        <v>939</v>
      </c>
      <c r="C247" s="22">
        <v>5544820.2699999996</v>
      </c>
      <c r="D247" s="22">
        <v>1152036.04</v>
      </c>
      <c r="E247" s="22">
        <v>1534779.43</v>
      </c>
      <c r="F247" s="23">
        <v>1616612.65</v>
      </c>
      <c r="G247" t="s">
        <v>499</v>
      </c>
    </row>
    <row r="248" spans="1:7" x14ac:dyDescent="0.25">
      <c r="A248" s="20">
        <v>5724</v>
      </c>
      <c r="B248" s="21" t="s">
        <v>940</v>
      </c>
      <c r="C248" s="22">
        <v>2867262.57</v>
      </c>
      <c r="D248" s="22">
        <v>558377.78</v>
      </c>
      <c r="E248" s="22">
        <v>1134180.27</v>
      </c>
      <c r="F248" s="23">
        <v>1530762.74</v>
      </c>
      <c r="G248" t="s">
        <v>501</v>
      </c>
    </row>
    <row r="249" spans="1:7" x14ac:dyDescent="0.25">
      <c r="A249" s="20">
        <v>5751</v>
      </c>
      <c r="B249" s="21" t="s">
        <v>941</v>
      </c>
      <c r="C249" s="22">
        <v>7754592.8200000003</v>
      </c>
      <c r="D249" s="22">
        <v>1413552.57</v>
      </c>
      <c r="E249" s="22">
        <v>1091299.7</v>
      </c>
      <c r="F249" s="23">
        <v>1603183.93</v>
      </c>
      <c r="G249" t="s">
        <v>556</v>
      </c>
    </row>
    <row r="250" spans="1:7" x14ac:dyDescent="0.25">
      <c r="A250" s="20">
        <v>5805</v>
      </c>
      <c r="B250" s="21" t="s">
        <v>942</v>
      </c>
      <c r="C250" s="22">
        <v>20009594.57</v>
      </c>
      <c r="D250" s="22">
        <v>4905126.32</v>
      </c>
      <c r="E250" s="22">
        <v>341827.81</v>
      </c>
      <c r="F250" s="23">
        <v>3226857.48</v>
      </c>
      <c r="G250" t="s">
        <v>503</v>
      </c>
    </row>
    <row r="251" spans="1:7" x14ac:dyDescent="0.25">
      <c r="A251" s="20">
        <v>5823</v>
      </c>
      <c r="B251" s="21" t="s">
        <v>943</v>
      </c>
      <c r="C251" s="22">
        <v>5516728.9000000004</v>
      </c>
      <c r="D251" s="22">
        <v>1755150.07</v>
      </c>
      <c r="E251" s="22">
        <v>2052217.14</v>
      </c>
      <c r="F251" s="23">
        <v>2498540.34</v>
      </c>
      <c r="G251" t="s">
        <v>505</v>
      </c>
    </row>
    <row r="252" spans="1:7" x14ac:dyDescent="0.25">
      <c r="A252" s="20">
        <v>5832</v>
      </c>
      <c r="B252" s="21" t="s">
        <v>944</v>
      </c>
      <c r="C252" s="22">
        <v>3720313.17</v>
      </c>
      <c r="D252" s="22">
        <v>1048830</v>
      </c>
      <c r="E252" s="22">
        <v>1637823.83</v>
      </c>
      <c r="F252" s="23">
        <v>1877420.77</v>
      </c>
      <c r="G252" t="s">
        <v>507</v>
      </c>
    </row>
    <row r="253" spans="1:7" x14ac:dyDescent="0.25">
      <c r="A253" s="20">
        <v>5877</v>
      </c>
      <c r="B253" s="21" t="s">
        <v>945</v>
      </c>
      <c r="C253" s="22">
        <v>20522136.989999998</v>
      </c>
      <c r="D253" s="22">
        <v>4639242.3099999996</v>
      </c>
      <c r="E253" s="22">
        <v>4711303.04</v>
      </c>
      <c r="F253" s="23">
        <v>4803742.74</v>
      </c>
      <c r="G253" t="s">
        <v>509</v>
      </c>
    </row>
    <row r="254" spans="1:7" x14ac:dyDescent="0.25">
      <c r="A254" s="20">
        <v>5895</v>
      </c>
      <c r="B254" s="21" t="s">
        <v>946</v>
      </c>
      <c r="C254" s="22">
        <v>4625587.3099999996</v>
      </c>
      <c r="D254" s="22">
        <v>1752608</v>
      </c>
      <c r="E254" s="22">
        <v>1525465.53</v>
      </c>
      <c r="F254" s="23">
        <v>1567965.54</v>
      </c>
      <c r="G254" t="s">
        <v>511</v>
      </c>
    </row>
    <row r="255" spans="1:7" x14ac:dyDescent="0.25">
      <c r="A255" s="20">
        <v>5922</v>
      </c>
      <c r="B255" s="21" t="s">
        <v>947</v>
      </c>
      <c r="C255" s="22">
        <v>9946598.6500000004</v>
      </c>
      <c r="D255" s="22">
        <v>1360965.99</v>
      </c>
      <c r="E255" s="22">
        <v>1627858.54</v>
      </c>
      <c r="F255" s="23">
        <v>1789673.89</v>
      </c>
      <c r="G255" t="s">
        <v>632</v>
      </c>
    </row>
    <row r="256" spans="1:7" x14ac:dyDescent="0.25">
      <c r="A256" s="20">
        <v>5949</v>
      </c>
      <c r="B256" s="21" t="s">
        <v>948</v>
      </c>
      <c r="C256" s="22">
        <v>13639845.470000001</v>
      </c>
      <c r="D256" s="22">
        <v>2347004.62</v>
      </c>
      <c r="E256" s="22">
        <v>5276102.67</v>
      </c>
      <c r="F256" s="23">
        <v>5623183.1699999999</v>
      </c>
      <c r="G256" t="s">
        <v>513</v>
      </c>
    </row>
    <row r="257" spans="1:7" x14ac:dyDescent="0.25">
      <c r="A257" s="20">
        <v>5976</v>
      </c>
      <c r="B257" s="21" t="s">
        <v>949</v>
      </c>
      <c r="C257" s="22">
        <v>15567273.289999999</v>
      </c>
      <c r="D257" s="22">
        <v>3570450.45</v>
      </c>
      <c r="E257" s="22">
        <v>1790226.36</v>
      </c>
      <c r="F257" s="23">
        <v>1933312.24</v>
      </c>
      <c r="G257" t="s">
        <v>515</v>
      </c>
    </row>
    <row r="258" spans="1:7" x14ac:dyDescent="0.25">
      <c r="A258" s="20">
        <v>5994</v>
      </c>
      <c r="B258" s="21" t="s">
        <v>950</v>
      </c>
      <c r="C258" s="22">
        <v>9284186.7799999993</v>
      </c>
      <c r="D258" s="22">
        <v>1428158.34</v>
      </c>
      <c r="E258" s="22">
        <v>3785592.38</v>
      </c>
      <c r="F258" s="23">
        <v>4169043.83</v>
      </c>
      <c r="G258" t="s">
        <v>517</v>
      </c>
    </row>
    <row r="259" spans="1:7" x14ac:dyDescent="0.25">
      <c r="A259" s="20">
        <v>6003</v>
      </c>
      <c r="B259" s="21" t="s">
        <v>951</v>
      </c>
      <c r="C259" s="22">
        <v>6545511.7699999996</v>
      </c>
      <c r="D259" s="22">
        <v>1600881.11</v>
      </c>
      <c r="E259" s="22">
        <v>1119352.51</v>
      </c>
      <c r="F259" s="23">
        <v>1639769.54</v>
      </c>
      <c r="G259" t="s">
        <v>519</v>
      </c>
    </row>
    <row r="260" spans="1:7" x14ac:dyDescent="0.25">
      <c r="A260" s="20">
        <v>6012</v>
      </c>
      <c r="B260" s="21" t="s">
        <v>952</v>
      </c>
      <c r="C260" s="22">
        <v>7806648.8899999997</v>
      </c>
      <c r="D260" s="22">
        <v>1703244.32</v>
      </c>
      <c r="E260" s="22">
        <v>2702653.42</v>
      </c>
      <c r="F260" s="23">
        <v>2968573</v>
      </c>
      <c r="G260" t="s">
        <v>521</v>
      </c>
    </row>
    <row r="261" spans="1:7" x14ac:dyDescent="0.25">
      <c r="A261" s="20">
        <v>6030</v>
      </c>
      <c r="B261" s="21" t="s">
        <v>953</v>
      </c>
      <c r="C261" s="22">
        <v>19665952.359999999</v>
      </c>
      <c r="D261" s="22">
        <v>3163984.09</v>
      </c>
      <c r="E261" s="22">
        <v>1643247.55</v>
      </c>
      <c r="F261" s="23">
        <v>2076480.31</v>
      </c>
      <c r="G261" t="s">
        <v>523</v>
      </c>
    </row>
    <row r="262" spans="1:7" x14ac:dyDescent="0.25">
      <c r="A262" s="20">
        <v>6035</v>
      </c>
      <c r="B262" s="21" t="s">
        <v>954</v>
      </c>
      <c r="C262" s="22">
        <v>8081457.7699999996</v>
      </c>
      <c r="D262" s="22">
        <v>3177402</v>
      </c>
      <c r="E262" s="22">
        <v>4178898</v>
      </c>
      <c r="F262" s="23">
        <v>4659324.66</v>
      </c>
      <c r="G262" t="s">
        <v>526</v>
      </c>
    </row>
    <row r="263" spans="1:7" x14ac:dyDescent="0.25">
      <c r="A263" s="20">
        <v>6039</v>
      </c>
      <c r="B263" s="21" t="s">
        <v>955</v>
      </c>
      <c r="C263" s="22">
        <v>184581237.61000001</v>
      </c>
      <c r="D263" s="22">
        <v>27197578.469999999</v>
      </c>
      <c r="E263" s="22">
        <v>58382031.780000001</v>
      </c>
      <c r="F263" s="23">
        <v>63064123.619999997</v>
      </c>
      <c r="G263" t="s">
        <v>528</v>
      </c>
    </row>
    <row r="264" spans="1:7" x14ac:dyDescent="0.25">
      <c r="A264" s="20">
        <v>6091</v>
      </c>
      <c r="B264" s="21" t="s">
        <v>956</v>
      </c>
      <c r="C264" s="22">
        <v>13369445.460000001</v>
      </c>
      <c r="D264" s="22">
        <v>3037465.71</v>
      </c>
      <c r="E264" s="22">
        <v>9533187.6400000006</v>
      </c>
      <c r="F264" s="23">
        <v>9802732.6099999994</v>
      </c>
      <c r="G264" t="s">
        <v>532</v>
      </c>
    </row>
    <row r="265" spans="1:7" x14ac:dyDescent="0.25">
      <c r="A265" s="20">
        <v>6093</v>
      </c>
      <c r="B265" s="21" t="s">
        <v>957</v>
      </c>
      <c r="C265" s="22">
        <v>15980708.5</v>
      </c>
      <c r="D265" s="22">
        <v>1349807.35</v>
      </c>
      <c r="E265" s="22">
        <v>3883531.71</v>
      </c>
      <c r="F265" s="23">
        <v>4463990.09</v>
      </c>
      <c r="G265" t="s">
        <v>530</v>
      </c>
    </row>
    <row r="266" spans="1:7" x14ac:dyDescent="0.25">
      <c r="A266" s="20">
        <v>6094</v>
      </c>
      <c r="B266" s="21" t="s">
        <v>958</v>
      </c>
      <c r="C266" s="22">
        <v>7352559.7400000002</v>
      </c>
      <c r="D266" s="22">
        <v>1086049.5900000001</v>
      </c>
      <c r="E266" s="22">
        <v>1281760.32</v>
      </c>
      <c r="F266" s="23">
        <v>1611249.62</v>
      </c>
      <c r="G266" t="s">
        <v>547</v>
      </c>
    </row>
    <row r="267" spans="1:7" x14ac:dyDescent="0.25">
      <c r="A267" s="20">
        <v>6095</v>
      </c>
      <c r="B267" s="21" t="s">
        <v>959</v>
      </c>
      <c r="C267" s="22">
        <v>8620932.2100000009</v>
      </c>
      <c r="D267" s="22">
        <v>1962965.08</v>
      </c>
      <c r="E267" s="22">
        <v>2499075.19</v>
      </c>
      <c r="F267" s="23">
        <v>3004149.71</v>
      </c>
      <c r="G267" t="s">
        <v>534</v>
      </c>
    </row>
    <row r="268" spans="1:7" x14ac:dyDescent="0.25">
      <c r="A268" s="20">
        <v>6096</v>
      </c>
      <c r="B268" s="21" t="s">
        <v>960</v>
      </c>
      <c r="C268" s="22">
        <v>7790335.8600000003</v>
      </c>
      <c r="D268" s="22">
        <v>2503000.7400000002</v>
      </c>
      <c r="E268" s="22">
        <v>5225405.21</v>
      </c>
      <c r="F268" s="23">
        <v>5361098.05</v>
      </c>
      <c r="G268" t="s">
        <v>549</v>
      </c>
    </row>
    <row r="269" spans="1:7" x14ac:dyDescent="0.25">
      <c r="A269" s="20">
        <v>6097</v>
      </c>
      <c r="B269" s="21" t="s">
        <v>961</v>
      </c>
      <c r="C269" s="22">
        <v>3106245.49</v>
      </c>
      <c r="D269" s="22">
        <v>574415.14</v>
      </c>
      <c r="E269" s="22">
        <v>785224.63</v>
      </c>
      <c r="F269" s="23">
        <v>1008805.74</v>
      </c>
      <c r="G269" t="s">
        <v>539</v>
      </c>
    </row>
    <row r="270" spans="1:7" x14ac:dyDescent="0.25">
      <c r="A270" s="20">
        <v>6098</v>
      </c>
      <c r="B270" s="21" t="s">
        <v>679</v>
      </c>
      <c r="C270" s="22">
        <v>20019809.260000002</v>
      </c>
      <c r="D270" s="22">
        <v>3340023.2</v>
      </c>
      <c r="E270" s="22">
        <v>4766439.5599999996</v>
      </c>
      <c r="F270" s="23">
        <v>5111950.5999999996</v>
      </c>
      <c r="G270" t="s">
        <v>541</v>
      </c>
    </row>
    <row r="271" spans="1:7" x14ac:dyDescent="0.25">
      <c r="A271" s="20">
        <v>6099</v>
      </c>
      <c r="B271" s="21" t="s">
        <v>962</v>
      </c>
      <c r="C271" s="22">
        <v>8127237.7999999998</v>
      </c>
      <c r="D271" s="22">
        <v>1161499.1399999999</v>
      </c>
      <c r="E271" s="22">
        <v>1052853.1599999999</v>
      </c>
      <c r="F271" s="23">
        <v>1621422.2</v>
      </c>
      <c r="G271" t="s">
        <v>537</v>
      </c>
    </row>
    <row r="272" spans="1:7" x14ac:dyDescent="0.25">
      <c r="A272" s="20">
        <v>6100</v>
      </c>
      <c r="B272" s="21" t="s">
        <v>963</v>
      </c>
      <c r="C272" s="22">
        <v>7560495.1399999997</v>
      </c>
      <c r="D272" s="22">
        <v>1516563.97</v>
      </c>
      <c r="E272" s="22">
        <v>1231614.0900000001</v>
      </c>
      <c r="F272" s="23">
        <v>1348444.69</v>
      </c>
      <c r="G272" t="s">
        <v>543</v>
      </c>
    </row>
    <row r="273" spans="1:7" x14ac:dyDescent="0.25">
      <c r="A273" s="20">
        <v>6101</v>
      </c>
      <c r="B273" s="21" t="s">
        <v>964</v>
      </c>
      <c r="C273" s="22">
        <v>87377468.650000006</v>
      </c>
      <c r="D273" s="22">
        <v>12567088.869999999</v>
      </c>
      <c r="E273" s="22">
        <v>14949543.07</v>
      </c>
      <c r="F273" s="23">
        <v>18288000.5</v>
      </c>
      <c r="G273" t="s">
        <v>545</v>
      </c>
    </row>
    <row r="274" spans="1:7" x14ac:dyDescent="0.25">
      <c r="A274" s="20">
        <v>6102</v>
      </c>
      <c r="B274" s="21" t="s">
        <v>965</v>
      </c>
      <c r="C274" s="22">
        <v>27593789.100000001</v>
      </c>
      <c r="D274" s="22">
        <v>4818080.05</v>
      </c>
      <c r="E274" s="22">
        <v>5579789.8499999996</v>
      </c>
      <c r="F274" s="23">
        <v>5934992.6100000003</v>
      </c>
      <c r="G274" t="s">
        <v>550</v>
      </c>
    </row>
    <row r="275" spans="1:7" x14ac:dyDescent="0.25">
      <c r="A275" s="20">
        <v>6120</v>
      </c>
      <c r="B275" s="21" t="s">
        <v>966</v>
      </c>
      <c r="C275" s="22">
        <v>14922720.060000001</v>
      </c>
      <c r="D275" s="22">
        <v>2331866.31</v>
      </c>
      <c r="E275" s="22">
        <v>3760567.9</v>
      </c>
      <c r="F275" s="23">
        <v>4057465.29</v>
      </c>
      <c r="G275" t="s">
        <v>552</v>
      </c>
    </row>
    <row r="276" spans="1:7" x14ac:dyDescent="0.25">
      <c r="A276" s="20">
        <v>6138</v>
      </c>
      <c r="B276" s="21" t="s">
        <v>967</v>
      </c>
      <c r="C276" s="22">
        <v>5769100.0499999998</v>
      </c>
      <c r="D276" s="22">
        <v>1258294.46</v>
      </c>
      <c r="E276" s="22">
        <v>1420522.87</v>
      </c>
      <c r="F276" s="23">
        <v>1664434.28</v>
      </c>
      <c r="G276" t="s">
        <v>554</v>
      </c>
    </row>
    <row r="277" spans="1:7" x14ac:dyDescent="0.25">
      <c r="A277" s="20">
        <v>6165</v>
      </c>
      <c r="B277" s="21" t="s">
        <v>968</v>
      </c>
      <c r="C277" s="22">
        <v>3498449.18</v>
      </c>
      <c r="D277" s="22">
        <v>1152660.3500000001</v>
      </c>
      <c r="E277" s="22">
        <v>1258078.3999999999</v>
      </c>
      <c r="F277" s="23">
        <v>1476729.13</v>
      </c>
      <c r="G277" t="s">
        <v>558</v>
      </c>
    </row>
    <row r="278" spans="1:7" x14ac:dyDescent="0.25">
      <c r="A278" s="20">
        <v>6175</v>
      </c>
      <c r="B278" s="21" t="s">
        <v>969</v>
      </c>
      <c r="C278" s="22">
        <v>8673680.4100000001</v>
      </c>
      <c r="D278" s="22">
        <v>1627987.1</v>
      </c>
      <c r="E278" s="22">
        <v>3336393.37</v>
      </c>
      <c r="F278" s="23">
        <v>3679635.7</v>
      </c>
      <c r="G278" t="s">
        <v>560</v>
      </c>
    </row>
    <row r="279" spans="1:7" x14ac:dyDescent="0.25">
      <c r="A279" s="20">
        <v>6219</v>
      </c>
      <c r="B279" s="21" t="s">
        <v>970</v>
      </c>
      <c r="C279" s="22">
        <v>35522895.219999999</v>
      </c>
      <c r="D279" s="22">
        <v>6883547.8600000003</v>
      </c>
      <c r="E279" s="22">
        <v>5719810.3399999999</v>
      </c>
      <c r="F279" s="23">
        <v>7554597.8499999996</v>
      </c>
      <c r="G279" t="s">
        <v>562</v>
      </c>
    </row>
    <row r="280" spans="1:7" x14ac:dyDescent="0.25">
      <c r="A280" s="20">
        <v>6246</v>
      </c>
      <c r="B280" s="21" t="s">
        <v>971</v>
      </c>
      <c r="C280" s="22">
        <v>2242174.92</v>
      </c>
      <c r="D280" s="22">
        <v>474463.78</v>
      </c>
      <c r="E280" s="22">
        <v>392868.26</v>
      </c>
      <c r="F280" s="23">
        <v>476142.25</v>
      </c>
      <c r="G280" t="s">
        <v>564</v>
      </c>
    </row>
    <row r="281" spans="1:7" x14ac:dyDescent="0.25">
      <c r="A281" s="20">
        <v>6264</v>
      </c>
      <c r="B281" s="21" t="s">
        <v>972</v>
      </c>
      <c r="C281" s="22">
        <v>11211967.710000001</v>
      </c>
      <c r="D281" s="22">
        <v>1484711.38</v>
      </c>
      <c r="E281" s="22">
        <v>3451312.08</v>
      </c>
      <c r="F281" s="23">
        <v>4135784.3</v>
      </c>
      <c r="G281" t="s">
        <v>626</v>
      </c>
    </row>
    <row r="282" spans="1:7" x14ac:dyDescent="0.25">
      <c r="A282" s="20">
        <v>6273</v>
      </c>
      <c r="B282" s="21" t="s">
        <v>973</v>
      </c>
      <c r="C282" s="22">
        <v>10331508.970000001</v>
      </c>
      <c r="D282" s="22">
        <v>1534375.78</v>
      </c>
      <c r="E282" s="22">
        <v>1196913.8700000001</v>
      </c>
      <c r="F282" s="23">
        <v>2227166.56</v>
      </c>
      <c r="G282" t="s">
        <v>566</v>
      </c>
    </row>
    <row r="283" spans="1:7" x14ac:dyDescent="0.25">
      <c r="A283" s="20">
        <v>6408</v>
      </c>
      <c r="B283" s="21" t="s">
        <v>974</v>
      </c>
      <c r="C283" s="22">
        <v>11372772.789999999</v>
      </c>
      <c r="D283" s="22">
        <v>1857353.2</v>
      </c>
      <c r="E283" s="22">
        <v>1962234.65</v>
      </c>
      <c r="F283" s="23">
        <v>2185469.7400000002</v>
      </c>
      <c r="G283" t="s">
        <v>568</v>
      </c>
    </row>
    <row r="284" spans="1:7" x14ac:dyDescent="0.25">
      <c r="A284" s="20">
        <v>6453</v>
      </c>
      <c r="B284" s="21" t="s">
        <v>975</v>
      </c>
      <c r="C284" s="22">
        <v>8846525.1999999993</v>
      </c>
      <c r="D284" s="22">
        <v>2652843.9</v>
      </c>
      <c r="E284" s="22">
        <v>2342565.86</v>
      </c>
      <c r="F284" s="23">
        <v>2541942.87</v>
      </c>
      <c r="G284" t="s">
        <v>570</v>
      </c>
    </row>
    <row r="285" spans="1:7" x14ac:dyDescent="0.25">
      <c r="A285" s="20">
        <v>6460</v>
      </c>
      <c r="B285" s="21" t="s">
        <v>976</v>
      </c>
      <c r="C285" s="22">
        <v>8449475.9600000009</v>
      </c>
      <c r="D285" s="22">
        <v>1700859.71</v>
      </c>
      <c r="E285" s="22">
        <v>3247416.97</v>
      </c>
      <c r="F285" s="23">
        <v>3391312.16</v>
      </c>
      <c r="G285" t="s">
        <v>572</v>
      </c>
    </row>
    <row r="286" spans="1:7" x14ac:dyDescent="0.25">
      <c r="A286" s="20">
        <v>6462</v>
      </c>
      <c r="B286" s="21" t="s">
        <v>977</v>
      </c>
      <c r="C286" s="22">
        <v>3584940.81</v>
      </c>
      <c r="D286" s="22">
        <v>560939.13</v>
      </c>
      <c r="E286" s="22">
        <v>2152946</v>
      </c>
      <c r="F286" s="23">
        <v>2422237.1800000002</v>
      </c>
      <c r="G286" t="s">
        <v>574</v>
      </c>
    </row>
    <row r="287" spans="1:7" x14ac:dyDescent="0.25">
      <c r="A287" s="20">
        <v>6471</v>
      </c>
      <c r="B287" s="21" t="s">
        <v>978</v>
      </c>
      <c r="C287" s="22">
        <v>5790279.1399999997</v>
      </c>
      <c r="D287" s="22">
        <v>719887.43</v>
      </c>
      <c r="E287" s="22">
        <v>919477.13</v>
      </c>
      <c r="F287" s="23">
        <v>1147095.79</v>
      </c>
      <c r="G287" t="s">
        <v>576</v>
      </c>
    </row>
    <row r="288" spans="1:7" x14ac:dyDescent="0.25">
      <c r="A288" s="20">
        <v>6509</v>
      </c>
      <c r="B288" s="21" t="s">
        <v>979</v>
      </c>
      <c r="C288" s="22">
        <v>5580602.2599999998</v>
      </c>
      <c r="D288" s="22">
        <v>1356192</v>
      </c>
      <c r="E288" s="22">
        <v>2193911.9300000002</v>
      </c>
      <c r="F288" s="23">
        <v>2449718.37</v>
      </c>
      <c r="G288" t="s">
        <v>578</v>
      </c>
    </row>
    <row r="289" spans="1:7" x14ac:dyDescent="0.25">
      <c r="A289" s="20">
        <v>6512</v>
      </c>
      <c r="B289" s="21" t="s">
        <v>980</v>
      </c>
      <c r="C289" s="22">
        <v>4711707.8899999997</v>
      </c>
      <c r="D289" s="22">
        <v>1073532.3799999999</v>
      </c>
      <c r="E289" s="22">
        <v>872036.16</v>
      </c>
      <c r="F289" s="23">
        <v>973203.62</v>
      </c>
      <c r="G289" t="s">
        <v>580</v>
      </c>
    </row>
    <row r="290" spans="1:7" x14ac:dyDescent="0.25">
      <c r="A290" s="20">
        <v>6516</v>
      </c>
      <c r="B290" s="21" t="s">
        <v>981</v>
      </c>
      <c r="C290" s="22">
        <v>2700120.52</v>
      </c>
      <c r="D290" s="22">
        <v>332499.67</v>
      </c>
      <c r="E290" s="22">
        <v>2003688.95</v>
      </c>
      <c r="F290" s="23">
        <v>2042022.72</v>
      </c>
      <c r="G290" t="s">
        <v>582</v>
      </c>
    </row>
    <row r="291" spans="1:7" x14ac:dyDescent="0.25">
      <c r="A291" s="20">
        <v>6534</v>
      </c>
      <c r="B291" s="21" t="s">
        <v>982</v>
      </c>
      <c r="C291" s="22">
        <v>10296315.789999999</v>
      </c>
      <c r="D291" s="22">
        <v>1847962.34</v>
      </c>
      <c r="E291" s="22">
        <v>456326.5</v>
      </c>
      <c r="F291" s="23">
        <v>831723.58</v>
      </c>
      <c r="G291" t="s">
        <v>584</v>
      </c>
    </row>
    <row r="292" spans="1:7" x14ac:dyDescent="0.25">
      <c r="A292" s="20">
        <v>6536</v>
      </c>
      <c r="B292" s="21" t="s">
        <v>983</v>
      </c>
      <c r="C292" s="22">
        <v>12649587.869999999</v>
      </c>
      <c r="D292" s="22">
        <v>1688565.89</v>
      </c>
      <c r="E292" s="22">
        <v>2038966.43</v>
      </c>
      <c r="F292" s="23">
        <v>2977431.72</v>
      </c>
      <c r="G292" t="s">
        <v>587</v>
      </c>
    </row>
    <row r="293" spans="1:7" x14ac:dyDescent="0.25">
      <c r="A293" s="20">
        <v>6561</v>
      </c>
      <c r="B293" s="21" t="s">
        <v>984</v>
      </c>
      <c r="C293" s="22">
        <v>5651493.3600000003</v>
      </c>
      <c r="D293" s="22">
        <v>1624841.22</v>
      </c>
      <c r="E293" s="22">
        <v>2603952.7000000002</v>
      </c>
      <c r="F293" s="23">
        <v>2891504.47</v>
      </c>
      <c r="G293" t="s">
        <v>589</v>
      </c>
    </row>
    <row r="294" spans="1:7" x14ac:dyDescent="0.25">
      <c r="A294" s="20">
        <v>6579</v>
      </c>
      <c r="B294" s="21" t="s">
        <v>985</v>
      </c>
      <c r="C294" s="22">
        <v>52913533.079999998</v>
      </c>
      <c r="D294" s="22">
        <v>12454292.789999999</v>
      </c>
      <c r="E294" s="22">
        <v>4707778.4400000004</v>
      </c>
      <c r="F294" s="23">
        <v>6335767.8600000003</v>
      </c>
      <c r="G294" t="s">
        <v>591</v>
      </c>
    </row>
    <row r="295" spans="1:7" x14ac:dyDescent="0.25">
      <c r="A295" s="20">
        <v>6592</v>
      </c>
      <c r="B295" s="21" t="s">
        <v>986</v>
      </c>
      <c r="C295" s="22">
        <v>13424282.779999999</v>
      </c>
      <c r="D295" s="22">
        <v>2854764.44</v>
      </c>
      <c r="E295" s="22">
        <v>5614189.79</v>
      </c>
      <c r="F295" s="23">
        <v>6828071.2699999996</v>
      </c>
      <c r="G295" t="s">
        <v>593</v>
      </c>
    </row>
    <row r="296" spans="1:7" x14ac:dyDescent="0.25">
      <c r="A296" s="20">
        <v>6615</v>
      </c>
      <c r="B296" s="21" t="s">
        <v>987</v>
      </c>
      <c r="C296" s="22">
        <v>10016565.84</v>
      </c>
      <c r="D296" s="22">
        <v>2073296.79</v>
      </c>
      <c r="E296" s="22">
        <v>2418769.0099999998</v>
      </c>
      <c r="F296" s="23">
        <v>2489906.65</v>
      </c>
      <c r="G296" t="s">
        <v>594</v>
      </c>
    </row>
    <row r="297" spans="1:7" x14ac:dyDescent="0.25">
      <c r="A297" s="20">
        <v>6651</v>
      </c>
      <c r="B297" s="21" t="s">
        <v>988</v>
      </c>
      <c r="C297" s="22">
        <v>5031980.3499999996</v>
      </c>
      <c r="D297" s="22">
        <v>1468315.28</v>
      </c>
      <c r="E297" s="22">
        <v>1603476.93</v>
      </c>
      <c r="F297" s="23">
        <v>1603476.93</v>
      </c>
      <c r="G297" t="s">
        <v>596</v>
      </c>
    </row>
    <row r="298" spans="1:7" x14ac:dyDescent="0.25">
      <c r="A298" s="20">
        <v>6660</v>
      </c>
      <c r="B298" s="21" t="s">
        <v>989</v>
      </c>
      <c r="C298" s="22">
        <v>20420127.59</v>
      </c>
      <c r="D298" s="22">
        <v>2648967.9300000002</v>
      </c>
      <c r="E298" s="22">
        <v>2335573.94</v>
      </c>
      <c r="F298" s="23">
        <v>2919943.73</v>
      </c>
      <c r="G298" t="s">
        <v>598</v>
      </c>
    </row>
    <row r="299" spans="1:7" x14ac:dyDescent="0.25">
      <c r="A299" s="20">
        <v>6700</v>
      </c>
      <c r="B299" s="21" t="s">
        <v>1025</v>
      </c>
      <c r="C299" s="22">
        <v>7717281.7599999998</v>
      </c>
      <c r="D299" s="22">
        <v>1915328.47</v>
      </c>
      <c r="E299" s="22">
        <v>979553.82</v>
      </c>
      <c r="F299" s="23">
        <v>1552678.37</v>
      </c>
      <c r="G299" t="s">
        <v>600</v>
      </c>
    </row>
    <row r="300" spans="1:7" x14ac:dyDescent="0.25">
      <c r="A300" s="20">
        <v>6741</v>
      </c>
      <c r="B300" s="21" t="s">
        <v>990</v>
      </c>
      <c r="C300" s="22">
        <v>10593507.710000001</v>
      </c>
      <c r="D300" s="22">
        <v>1488136.19</v>
      </c>
      <c r="E300" s="22">
        <v>1164082.6599999999</v>
      </c>
      <c r="F300" s="23">
        <v>1514793.23</v>
      </c>
      <c r="G300" t="s">
        <v>203</v>
      </c>
    </row>
    <row r="301" spans="1:7" x14ac:dyDescent="0.25">
      <c r="A301" s="20">
        <v>6759</v>
      </c>
      <c r="B301" s="21" t="s">
        <v>991</v>
      </c>
      <c r="C301" s="22">
        <v>8009530.8799999999</v>
      </c>
      <c r="D301" s="22">
        <v>1305182.56</v>
      </c>
      <c r="E301" s="22">
        <v>1454297.99</v>
      </c>
      <c r="F301" s="23">
        <v>1941693.42</v>
      </c>
      <c r="G301" t="s">
        <v>602</v>
      </c>
    </row>
    <row r="302" spans="1:7" x14ac:dyDescent="0.25">
      <c r="A302" s="20">
        <v>6762</v>
      </c>
      <c r="B302" s="21" t="s">
        <v>992</v>
      </c>
      <c r="C302" s="22">
        <v>9240763.2300000004</v>
      </c>
      <c r="D302" s="22">
        <v>1564430.52</v>
      </c>
      <c r="E302" s="22">
        <v>1534395.63</v>
      </c>
      <c r="F302" s="23">
        <v>1666829.61</v>
      </c>
      <c r="G302" t="s">
        <v>604</v>
      </c>
    </row>
    <row r="303" spans="1:7" x14ac:dyDescent="0.25">
      <c r="A303" s="20">
        <v>6768</v>
      </c>
      <c r="B303" s="21" t="s">
        <v>993</v>
      </c>
      <c r="C303" s="22">
        <v>24137702.969999999</v>
      </c>
      <c r="D303" s="22">
        <v>5816118.21</v>
      </c>
      <c r="E303" s="22">
        <v>4063227.64</v>
      </c>
      <c r="F303" s="23">
        <v>5928929.9500000002</v>
      </c>
      <c r="G303" t="s">
        <v>606</v>
      </c>
    </row>
    <row r="304" spans="1:7" x14ac:dyDescent="0.25">
      <c r="A304" s="20">
        <v>6795</v>
      </c>
      <c r="B304" s="21" t="s">
        <v>994</v>
      </c>
      <c r="C304" s="22">
        <v>153341850.28999999</v>
      </c>
      <c r="D304" s="22">
        <v>34281352.240000002</v>
      </c>
      <c r="E304" s="22">
        <v>33040919.460000001</v>
      </c>
      <c r="F304" s="23">
        <v>35307510.509999998</v>
      </c>
      <c r="G304" t="s">
        <v>608</v>
      </c>
    </row>
    <row r="305" spans="1:7" x14ac:dyDescent="0.25">
      <c r="A305" s="20">
        <v>6822</v>
      </c>
      <c r="B305" s="21" t="s">
        <v>995</v>
      </c>
      <c r="C305" s="22">
        <v>144645878.44999999</v>
      </c>
      <c r="D305" s="22">
        <v>10274711.029999999</v>
      </c>
      <c r="E305" s="22">
        <v>11253878.76</v>
      </c>
      <c r="F305" s="23">
        <v>17332014.18</v>
      </c>
      <c r="G305" t="s">
        <v>610</v>
      </c>
    </row>
    <row r="306" spans="1:7" x14ac:dyDescent="0.25">
      <c r="A306" s="20">
        <v>6840</v>
      </c>
      <c r="B306" s="21" t="s">
        <v>996</v>
      </c>
      <c r="C306" s="22">
        <v>28864816.800000001</v>
      </c>
      <c r="D306" s="22">
        <v>5288330.8099999996</v>
      </c>
      <c r="E306" s="22">
        <v>5463615.4500000002</v>
      </c>
      <c r="F306" s="23">
        <v>5908713.0599999996</v>
      </c>
      <c r="G306" t="s">
        <v>612</v>
      </c>
    </row>
    <row r="307" spans="1:7" x14ac:dyDescent="0.25">
      <c r="A307" s="20">
        <v>6854</v>
      </c>
      <c r="B307" s="21" t="s">
        <v>997</v>
      </c>
      <c r="C307" s="22">
        <v>7743601.54</v>
      </c>
      <c r="D307" s="22">
        <v>1831704.89</v>
      </c>
      <c r="E307" s="22">
        <v>4791477.1100000003</v>
      </c>
      <c r="F307" s="23">
        <v>5336494.79</v>
      </c>
      <c r="G307" t="s">
        <v>614</v>
      </c>
    </row>
    <row r="308" spans="1:7" x14ac:dyDescent="0.25">
      <c r="A308" s="20">
        <v>6867</v>
      </c>
      <c r="B308" s="21" t="s">
        <v>998</v>
      </c>
      <c r="C308" s="22">
        <v>23820681.210000001</v>
      </c>
      <c r="D308" s="22">
        <v>3558662</v>
      </c>
      <c r="E308" s="22">
        <v>4889692.5999999996</v>
      </c>
      <c r="F308" s="23">
        <v>5738304.3700000001</v>
      </c>
      <c r="G308" t="s">
        <v>616</v>
      </c>
    </row>
    <row r="309" spans="1:7" x14ac:dyDescent="0.25">
      <c r="A309" s="20">
        <v>6921</v>
      </c>
      <c r="B309" s="21" t="s">
        <v>999</v>
      </c>
      <c r="C309" s="22">
        <v>4688479.8099999996</v>
      </c>
      <c r="D309" s="22">
        <v>1264261.4099999999</v>
      </c>
      <c r="E309" s="22">
        <v>1518897.7</v>
      </c>
      <c r="F309" s="23">
        <v>2134443.1800000002</v>
      </c>
      <c r="G309" t="s">
        <v>618</v>
      </c>
    </row>
    <row r="310" spans="1:7" x14ac:dyDescent="0.25">
      <c r="A310" s="20">
        <v>6930</v>
      </c>
      <c r="B310" s="21" t="s">
        <v>1000</v>
      </c>
      <c r="C310" s="22">
        <v>10390561.720000001</v>
      </c>
      <c r="D310" s="22">
        <v>1496852.05</v>
      </c>
      <c r="E310" s="22">
        <v>1711086.2</v>
      </c>
      <c r="F310" s="23">
        <v>1792752.05</v>
      </c>
      <c r="G310" t="s">
        <v>620</v>
      </c>
    </row>
    <row r="311" spans="1:7" x14ac:dyDescent="0.25">
      <c r="A311" s="20">
        <v>6937</v>
      </c>
      <c r="B311" s="21" t="s">
        <v>1001</v>
      </c>
      <c r="C311" s="22">
        <v>10352361.789999999</v>
      </c>
      <c r="D311" s="22">
        <v>5022162.67</v>
      </c>
      <c r="E311" s="22">
        <v>2292205.4</v>
      </c>
      <c r="F311" s="23">
        <v>2589791.75</v>
      </c>
      <c r="G311" t="s">
        <v>622</v>
      </c>
    </row>
    <row r="312" spans="1:7" x14ac:dyDescent="0.25">
      <c r="A312" s="20">
        <v>6943</v>
      </c>
      <c r="B312" s="21" t="s">
        <v>1002</v>
      </c>
      <c r="C312" s="22">
        <v>4353968.2300000004</v>
      </c>
      <c r="D312" s="22">
        <v>1301780.78</v>
      </c>
      <c r="E312" s="22">
        <v>1107736.49</v>
      </c>
      <c r="F312" s="23">
        <v>1330245.08</v>
      </c>
      <c r="G312" t="s">
        <v>624</v>
      </c>
    </row>
    <row r="313" spans="1:7" x14ac:dyDescent="0.25">
      <c r="A313" s="20">
        <v>6950</v>
      </c>
      <c r="B313" s="21" t="s">
        <v>1003</v>
      </c>
      <c r="C313" s="22">
        <v>18577656.18</v>
      </c>
      <c r="D313" s="22">
        <v>2379224.7599999998</v>
      </c>
      <c r="E313" s="22">
        <v>906250.02</v>
      </c>
      <c r="F313" s="23">
        <v>2099033.7599999998</v>
      </c>
      <c r="G313" t="s">
        <v>628</v>
      </c>
    </row>
    <row r="314" spans="1:7" x14ac:dyDescent="0.25">
      <c r="A314" s="20">
        <v>6957</v>
      </c>
      <c r="B314" s="21" t="s">
        <v>1004</v>
      </c>
      <c r="C314" s="22">
        <v>122209790.08</v>
      </c>
      <c r="D314" s="22">
        <v>19734196.460000001</v>
      </c>
      <c r="E314" s="22">
        <v>20326637.640000001</v>
      </c>
      <c r="F314" s="23">
        <v>28473332.690000001</v>
      </c>
      <c r="G314" t="s">
        <v>630</v>
      </c>
    </row>
    <row r="315" spans="1:7" x14ac:dyDescent="0.25">
      <c r="A315" s="20">
        <v>6961</v>
      </c>
      <c r="B315" s="21" t="s">
        <v>1005</v>
      </c>
      <c r="C315" s="22">
        <v>43036325.140000001</v>
      </c>
      <c r="D315" s="22">
        <v>7449566.6799999997</v>
      </c>
      <c r="E315" s="22">
        <v>7643781.5700000003</v>
      </c>
      <c r="F315" s="23">
        <v>8879378.6400000006</v>
      </c>
      <c r="G315" t="s">
        <v>648</v>
      </c>
    </row>
    <row r="316" spans="1:7" x14ac:dyDescent="0.25">
      <c r="A316" s="20">
        <v>6969</v>
      </c>
      <c r="B316" s="21" t="s">
        <v>1006</v>
      </c>
      <c r="C316" s="22">
        <v>5285845.08</v>
      </c>
      <c r="D316" s="22">
        <v>1253005.3799999999</v>
      </c>
      <c r="E316" s="22">
        <v>893465.95</v>
      </c>
      <c r="F316" s="23">
        <v>1184199.42</v>
      </c>
      <c r="G316" t="s">
        <v>636</v>
      </c>
    </row>
    <row r="317" spans="1:7" x14ac:dyDescent="0.25">
      <c r="A317" s="20">
        <v>6975</v>
      </c>
      <c r="B317" s="21" t="s">
        <v>1007</v>
      </c>
      <c r="C317" s="22">
        <v>15082829.34</v>
      </c>
      <c r="D317" s="22">
        <v>1971124.14</v>
      </c>
      <c r="E317" s="22">
        <v>7318664.6500000004</v>
      </c>
      <c r="F317" s="23">
        <v>8034861.8799999999</v>
      </c>
      <c r="G317" t="s">
        <v>638</v>
      </c>
    </row>
    <row r="318" spans="1:7" x14ac:dyDescent="0.25">
      <c r="A318" s="20">
        <v>6983</v>
      </c>
      <c r="B318" s="21" t="s">
        <v>1008</v>
      </c>
      <c r="C318" s="22">
        <v>11214860.26</v>
      </c>
      <c r="D318" s="22">
        <v>1797948.35</v>
      </c>
      <c r="E318" s="22">
        <v>2053713.33</v>
      </c>
      <c r="F318" s="23">
        <v>3374588.22</v>
      </c>
      <c r="G318" t="s">
        <v>640</v>
      </c>
    </row>
    <row r="319" spans="1:7" x14ac:dyDescent="0.25">
      <c r="A319" s="20">
        <v>6985</v>
      </c>
      <c r="B319" s="21" t="s">
        <v>1009</v>
      </c>
      <c r="C319" s="22">
        <v>10742235.800000001</v>
      </c>
      <c r="D319" s="22">
        <v>1895712.31</v>
      </c>
      <c r="E319" s="22">
        <v>4283017.0199999996</v>
      </c>
      <c r="F319" s="23">
        <v>5246591.7699999996</v>
      </c>
      <c r="G319" t="s">
        <v>642</v>
      </c>
    </row>
    <row r="320" spans="1:7" x14ac:dyDescent="0.25">
      <c r="A320" s="20">
        <v>6987</v>
      </c>
      <c r="B320" s="21" t="s">
        <v>1010</v>
      </c>
      <c r="C320" s="22">
        <v>8779313.0800000001</v>
      </c>
      <c r="D320" s="22">
        <v>1744761.04</v>
      </c>
      <c r="E320" s="22">
        <v>3369210.03</v>
      </c>
      <c r="F320" s="23">
        <v>3751251.62</v>
      </c>
      <c r="G320" t="s">
        <v>644</v>
      </c>
    </row>
    <row r="321" spans="1:7" x14ac:dyDescent="0.25">
      <c r="A321" s="20">
        <v>6990</v>
      </c>
      <c r="B321" s="21" t="s">
        <v>1011</v>
      </c>
      <c r="C321" s="22">
        <v>11183088.9</v>
      </c>
      <c r="D321" s="22">
        <v>1312548.72</v>
      </c>
      <c r="E321" s="22">
        <v>2200678.9</v>
      </c>
      <c r="F321" s="23">
        <v>2402446.41</v>
      </c>
      <c r="G321" t="s">
        <v>646</v>
      </c>
    </row>
    <row r="322" spans="1:7" x14ac:dyDescent="0.25">
      <c r="A322" s="20">
        <v>6992</v>
      </c>
      <c r="B322" s="21" t="s">
        <v>1012</v>
      </c>
      <c r="C322" s="22">
        <v>7607691.5800000001</v>
      </c>
      <c r="D322" s="22">
        <v>1719439.97</v>
      </c>
      <c r="E322" s="22">
        <v>3115104.54</v>
      </c>
      <c r="F322" s="23">
        <v>3515902.83</v>
      </c>
      <c r="G322" t="s">
        <v>650</v>
      </c>
    </row>
    <row r="323" spans="1:7" x14ac:dyDescent="0.25">
      <c r="A323" s="20">
        <v>7002</v>
      </c>
      <c r="B323" s="21" t="s">
        <v>1013</v>
      </c>
      <c r="C323" s="22">
        <v>3212084.65</v>
      </c>
      <c r="D323" s="22">
        <v>705821.35</v>
      </c>
      <c r="E323" s="22">
        <v>628340.92000000004</v>
      </c>
      <c r="F323" s="23">
        <v>724871.8</v>
      </c>
      <c r="G323" t="s">
        <v>652</v>
      </c>
    </row>
    <row r="324" spans="1:7" x14ac:dyDescent="0.25">
      <c r="A324" s="20">
        <v>7029</v>
      </c>
      <c r="B324" s="21" t="s">
        <v>1014</v>
      </c>
      <c r="C324" s="22">
        <v>15279588.41</v>
      </c>
      <c r="D324" s="22">
        <v>2481567.59</v>
      </c>
      <c r="E324" s="22">
        <v>2156625.0299999998</v>
      </c>
      <c r="F324" s="23">
        <v>2652482.2000000002</v>
      </c>
      <c r="G324" t="s">
        <v>654</v>
      </c>
    </row>
    <row r="325" spans="1:7" x14ac:dyDescent="0.25">
      <c r="A325" s="20">
        <v>7038</v>
      </c>
      <c r="B325" s="21" t="s">
        <v>1015</v>
      </c>
      <c r="C325" s="22">
        <v>10905025.35</v>
      </c>
      <c r="D325" s="22">
        <v>1712117.47</v>
      </c>
      <c r="E325" s="22">
        <v>2952689.19</v>
      </c>
      <c r="F325" s="23">
        <v>3019299.12</v>
      </c>
      <c r="G325" t="s">
        <v>656</v>
      </c>
    </row>
    <row r="326" spans="1:7" x14ac:dyDescent="0.25">
      <c r="A326" s="20">
        <v>7047</v>
      </c>
      <c r="B326" s="21" t="s">
        <v>1016</v>
      </c>
      <c r="C326" s="22">
        <v>4924155.2</v>
      </c>
      <c r="D326" s="22">
        <v>1511238.35</v>
      </c>
      <c r="E326" s="22">
        <v>747645.06</v>
      </c>
      <c r="F326" s="23">
        <v>1164509.29</v>
      </c>
      <c r="G326" t="s">
        <v>658</v>
      </c>
    </row>
    <row r="327" spans="1:7" x14ac:dyDescent="0.25">
      <c r="A327" s="20">
        <v>7056</v>
      </c>
      <c r="B327" s="21" t="s">
        <v>1017</v>
      </c>
      <c r="C327" s="22">
        <v>20687438.149999999</v>
      </c>
      <c r="D327" s="22">
        <v>2953001.55</v>
      </c>
      <c r="E327" s="22">
        <v>4673111.28</v>
      </c>
      <c r="F327" s="23">
        <v>4799249.3899999997</v>
      </c>
      <c r="G327" t="s">
        <v>660</v>
      </c>
    </row>
    <row r="328" spans="1:7" x14ac:dyDescent="0.25">
      <c r="A328" s="20">
        <v>7092</v>
      </c>
      <c r="B328" s="21" t="s">
        <v>1018</v>
      </c>
      <c r="C328" s="22">
        <v>6368811.7199999997</v>
      </c>
      <c r="D328" s="22">
        <v>1448007.6799999999</v>
      </c>
      <c r="E328" s="22">
        <v>2363211.41</v>
      </c>
      <c r="F328" s="23">
        <v>2520899.84</v>
      </c>
      <c r="G328" t="s">
        <v>662</v>
      </c>
    </row>
    <row r="329" spans="1:7" x14ac:dyDescent="0.25">
      <c r="A329" s="20">
        <v>7098</v>
      </c>
      <c r="B329" s="21" t="s">
        <v>1019</v>
      </c>
      <c r="C329" s="22">
        <v>7813951.7800000003</v>
      </c>
      <c r="D329" s="22">
        <v>1712607.17</v>
      </c>
      <c r="E329" s="22">
        <v>1228253.95</v>
      </c>
      <c r="F329" s="23">
        <v>1591182.91</v>
      </c>
      <c r="G329" t="s">
        <v>664</v>
      </c>
    </row>
    <row r="330" spans="1:7" ht="15.75" thickBot="1" x14ac:dyDescent="0.3">
      <c r="A330" s="26">
        <v>7110</v>
      </c>
      <c r="B330" s="27" t="s">
        <v>1020</v>
      </c>
      <c r="C330" s="28">
        <v>16694725.470000001</v>
      </c>
      <c r="D330" s="28">
        <v>5780303.7699999996</v>
      </c>
      <c r="E330" s="28">
        <v>3166774.65</v>
      </c>
      <c r="F330" s="29">
        <v>3524464.93</v>
      </c>
      <c r="G330" t="s">
        <v>666</v>
      </c>
    </row>
    <row r="331" spans="1:7" x14ac:dyDescent="0.25">
      <c r="C331" s="3">
        <f>SUM(C4:C330)</f>
        <v>6676211035.21</v>
      </c>
      <c r="D331" s="3">
        <f>SUM(D4:D330)</f>
        <v>1206863797.4100003</v>
      </c>
      <c r="E331" s="3">
        <f>SUM(E4:E330)</f>
        <v>1359115779.4900005</v>
      </c>
      <c r="F331" s="3">
        <f>SUM(F4:F330)</f>
        <v>1585520129.4399996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6"/>
  <sheetViews>
    <sheetView topLeftCell="A294" workbookViewId="0">
      <selection activeCell="D294" sqref="D1:D1048576"/>
    </sheetView>
  </sheetViews>
  <sheetFormatPr defaultRowHeight="15" x14ac:dyDescent="0.25"/>
  <cols>
    <col min="2" max="2" width="9.140625" style="4"/>
    <col min="3" max="3" width="32" bestFit="1" customWidth="1"/>
    <col min="4" max="4" width="22.28515625" bestFit="1" customWidth="1"/>
  </cols>
  <sheetData>
    <row r="1" spans="1:5" x14ac:dyDescent="0.25">
      <c r="A1" t="s">
        <v>668</v>
      </c>
      <c r="B1" s="4" t="s">
        <v>670</v>
      </c>
      <c r="C1" t="s">
        <v>682</v>
      </c>
      <c r="D1" t="s">
        <v>683</v>
      </c>
      <c r="E1" t="s">
        <v>1027</v>
      </c>
    </row>
    <row r="2" spans="1:5" x14ac:dyDescent="0.25">
      <c r="A2">
        <v>2024</v>
      </c>
      <c r="B2" s="4" t="s">
        <v>6</v>
      </c>
      <c r="C2" t="s">
        <v>7</v>
      </c>
      <c r="D2" s="6">
        <v>370000</v>
      </c>
    </row>
    <row r="3" spans="1:5" x14ac:dyDescent="0.25">
      <c r="A3">
        <v>2024</v>
      </c>
      <c r="B3" s="4" t="s">
        <v>9</v>
      </c>
      <c r="C3" t="s">
        <v>10</v>
      </c>
      <c r="D3" s="6">
        <v>0</v>
      </c>
    </row>
    <row r="4" spans="1:5" x14ac:dyDescent="0.25">
      <c r="A4">
        <v>2024</v>
      </c>
      <c r="B4" s="4" t="s">
        <v>1</v>
      </c>
      <c r="C4" t="s">
        <v>2</v>
      </c>
      <c r="D4" s="6">
        <v>0</v>
      </c>
    </row>
    <row r="5" spans="1:5" x14ac:dyDescent="0.25">
      <c r="A5">
        <v>2024</v>
      </c>
      <c r="B5" s="4" t="s">
        <v>3</v>
      </c>
      <c r="C5" t="s">
        <v>4</v>
      </c>
      <c r="D5" s="6">
        <v>0</v>
      </c>
    </row>
    <row r="6" spans="1:5" x14ac:dyDescent="0.25">
      <c r="A6">
        <v>2024</v>
      </c>
      <c r="B6" s="4" t="s">
        <v>12</v>
      </c>
      <c r="C6" t="s">
        <v>13</v>
      </c>
      <c r="D6" s="6">
        <v>0</v>
      </c>
    </row>
    <row r="7" spans="1:5" x14ac:dyDescent="0.25">
      <c r="A7">
        <v>2024</v>
      </c>
      <c r="B7" s="4" t="s">
        <v>15</v>
      </c>
      <c r="C7" t="s">
        <v>16</v>
      </c>
      <c r="D7" s="6">
        <v>0</v>
      </c>
    </row>
    <row r="8" spans="1:5" x14ac:dyDescent="0.25">
      <c r="A8">
        <v>2024</v>
      </c>
      <c r="B8" s="4" t="s">
        <v>18</v>
      </c>
      <c r="C8" t="s">
        <v>19</v>
      </c>
      <c r="D8">
        <v>0</v>
      </c>
    </row>
    <row r="9" spans="1:5" x14ac:dyDescent="0.25">
      <c r="A9">
        <v>2024</v>
      </c>
      <c r="B9" s="4" t="s">
        <v>21</v>
      </c>
      <c r="C9" t="s">
        <v>22</v>
      </c>
      <c r="D9">
        <v>0</v>
      </c>
    </row>
    <row r="10" spans="1:5" x14ac:dyDescent="0.25">
      <c r="A10">
        <v>2024</v>
      </c>
      <c r="B10" s="4" t="s">
        <v>23</v>
      </c>
      <c r="C10" t="s">
        <v>24</v>
      </c>
      <c r="D10" s="6">
        <v>400000</v>
      </c>
    </row>
    <row r="11" spans="1:5" x14ac:dyDescent="0.25">
      <c r="A11">
        <v>2024</v>
      </c>
      <c r="B11" s="4" t="s">
        <v>25</v>
      </c>
      <c r="C11" t="s">
        <v>26</v>
      </c>
      <c r="D11" s="6">
        <v>895900</v>
      </c>
    </row>
    <row r="12" spans="1:5" x14ac:dyDescent="0.25">
      <c r="A12">
        <v>2024</v>
      </c>
      <c r="B12" s="4" t="s">
        <v>29</v>
      </c>
      <c r="C12" t="s">
        <v>30</v>
      </c>
      <c r="D12">
        <v>0</v>
      </c>
    </row>
    <row r="13" spans="1:5" x14ac:dyDescent="0.25">
      <c r="A13">
        <v>2024</v>
      </c>
      <c r="B13" s="4" t="s">
        <v>31</v>
      </c>
      <c r="C13" t="s">
        <v>32</v>
      </c>
      <c r="D13" s="6">
        <v>350000</v>
      </c>
    </row>
    <row r="14" spans="1:5" x14ac:dyDescent="0.25">
      <c r="A14">
        <v>2024</v>
      </c>
      <c r="B14" s="4" t="s">
        <v>33</v>
      </c>
      <c r="C14" t="s">
        <v>34</v>
      </c>
      <c r="D14" s="6">
        <v>0</v>
      </c>
    </row>
    <row r="15" spans="1:5" x14ac:dyDescent="0.25">
      <c r="A15">
        <v>2024</v>
      </c>
      <c r="B15" s="4" t="s">
        <v>35</v>
      </c>
      <c r="C15" t="s">
        <v>36</v>
      </c>
      <c r="D15" s="6">
        <v>0</v>
      </c>
    </row>
    <row r="16" spans="1:5" x14ac:dyDescent="0.25">
      <c r="A16">
        <v>2024</v>
      </c>
      <c r="B16" s="4" t="s">
        <v>38</v>
      </c>
      <c r="C16" t="s">
        <v>39</v>
      </c>
      <c r="D16" s="6">
        <v>170000</v>
      </c>
    </row>
    <row r="17" spans="1:4" x14ac:dyDescent="0.25">
      <c r="A17">
        <v>2024</v>
      </c>
      <c r="B17" s="4" t="s">
        <v>40</v>
      </c>
      <c r="C17" t="s">
        <v>41</v>
      </c>
      <c r="D17" s="6">
        <v>11047397</v>
      </c>
    </row>
    <row r="18" spans="1:4" x14ac:dyDescent="0.25">
      <c r="A18">
        <v>2024</v>
      </c>
      <c r="B18" s="4" t="s">
        <v>42</v>
      </c>
      <c r="C18" t="s">
        <v>43</v>
      </c>
      <c r="D18" s="6">
        <v>0</v>
      </c>
    </row>
    <row r="19" spans="1:4" x14ac:dyDescent="0.25">
      <c r="A19">
        <v>2024</v>
      </c>
      <c r="B19" s="4" t="s">
        <v>44</v>
      </c>
      <c r="C19" t="s">
        <v>45</v>
      </c>
      <c r="D19" s="6">
        <v>0</v>
      </c>
    </row>
    <row r="20" spans="1:4" x14ac:dyDescent="0.25">
      <c r="A20">
        <v>2024</v>
      </c>
      <c r="B20" s="4" t="s">
        <v>46</v>
      </c>
      <c r="C20" t="s">
        <v>47</v>
      </c>
      <c r="D20" s="6">
        <v>658718</v>
      </c>
    </row>
    <row r="21" spans="1:4" x14ac:dyDescent="0.25">
      <c r="A21">
        <v>2024</v>
      </c>
      <c r="B21" s="4" t="s">
        <v>48</v>
      </c>
      <c r="C21" t="s">
        <v>49</v>
      </c>
      <c r="D21" s="6">
        <v>140471</v>
      </c>
    </row>
    <row r="22" spans="1:4" x14ac:dyDescent="0.25">
      <c r="A22">
        <v>2024</v>
      </c>
      <c r="B22" s="4" t="s">
        <v>54</v>
      </c>
      <c r="C22" t="s">
        <v>55</v>
      </c>
      <c r="D22" s="6">
        <v>0</v>
      </c>
    </row>
    <row r="23" spans="1:4" x14ac:dyDescent="0.25">
      <c r="A23">
        <v>2024</v>
      </c>
      <c r="B23" s="4" t="s">
        <v>50</v>
      </c>
      <c r="C23" t="s">
        <v>51</v>
      </c>
      <c r="D23" s="6">
        <v>1258584</v>
      </c>
    </row>
    <row r="24" spans="1:4" x14ac:dyDescent="0.25">
      <c r="A24">
        <v>2024</v>
      </c>
      <c r="B24" s="4" t="s">
        <v>52</v>
      </c>
      <c r="C24" t="s">
        <v>53</v>
      </c>
      <c r="D24" s="6">
        <v>495487</v>
      </c>
    </row>
    <row r="25" spans="1:4" x14ac:dyDescent="0.25">
      <c r="A25">
        <v>2024</v>
      </c>
      <c r="B25" s="4" t="s">
        <v>56</v>
      </c>
      <c r="C25" t="s">
        <v>57</v>
      </c>
      <c r="D25" s="6">
        <v>161180</v>
      </c>
    </row>
    <row r="26" spans="1:4" x14ac:dyDescent="0.25">
      <c r="A26">
        <v>2024</v>
      </c>
      <c r="B26" s="4" t="s">
        <v>58</v>
      </c>
      <c r="C26" t="s">
        <v>59</v>
      </c>
      <c r="D26">
        <v>0</v>
      </c>
    </row>
    <row r="27" spans="1:4" x14ac:dyDescent="0.25">
      <c r="A27">
        <v>2024</v>
      </c>
      <c r="B27" s="4" t="s">
        <v>60</v>
      </c>
      <c r="C27" t="s">
        <v>61</v>
      </c>
      <c r="D27" s="6">
        <v>0</v>
      </c>
    </row>
    <row r="28" spans="1:4" x14ac:dyDescent="0.25">
      <c r="A28">
        <v>2024</v>
      </c>
      <c r="B28" s="4" t="s">
        <v>62</v>
      </c>
      <c r="C28" t="s">
        <v>63</v>
      </c>
      <c r="D28" s="6">
        <v>70395</v>
      </c>
    </row>
    <row r="29" spans="1:4" x14ac:dyDescent="0.25">
      <c r="A29">
        <v>2024</v>
      </c>
      <c r="B29" s="4" t="s">
        <v>64</v>
      </c>
      <c r="C29" t="s">
        <v>65</v>
      </c>
      <c r="D29" s="6">
        <v>0</v>
      </c>
    </row>
    <row r="30" spans="1:4" x14ac:dyDescent="0.25">
      <c r="A30">
        <v>2024</v>
      </c>
      <c r="B30" s="4" t="s">
        <v>66</v>
      </c>
      <c r="C30" t="s">
        <v>67</v>
      </c>
      <c r="D30" s="6">
        <v>0</v>
      </c>
    </row>
    <row r="31" spans="1:4" x14ac:dyDescent="0.25">
      <c r="A31">
        <v>2024</v>
      </c>
      <c r="B31" s="4" t="s">
        <v>68</v>
      </c>
      <c r="C31" t="s">
        <v>69</v>
      </c>
      <c r="D31" s="6">
        <v>507800</v>
      </c>
    </row>
    <row r="32" spans="1:4" x14ac:dyDescent="0.25">
      <c r="A32">
        <v>2024</v>
      </c>
      <c r="B32" s="4" t="s">
        <v>70</v>
      </c>
      <c r="C32" t="s">
        <v>71</v>
      </c>
      <c r="D32" s="6">
        <v>554361</v>
      </c>
    </row>
    <row r="33" spans="1:4" x14ac:dyDescent="0.25">
      <c r="A33">
        <v>2024</v>
      </c>
      <c r="B33" s="4" t="s">
        <v>72</v>
      </c>
      <c r="C33" t="s">
        <v>73</v>
      </c>
      <c r="D33" s="6">
        <v>0</v>
      </c>
    </row>
    <row r="34" spans="1:4" x14ac:dyDescent="0.25">
      <c r="A34">
        <v>2024</v>
      </c>
      <c r="B34" s="4" t="s">
        <v>74</v>
      </c>
      <c r="C34" t="s">
        <v>75</v>
      </c>
      <c r="D34" s="6">
        <v>290263</v>
      </c>
    </row>
    <row r="35" spans="1:4" x14ac:dyDescent="0.25">
      <c r="A35">
        <v>2024</v>
      </c>
      <c r="B35" s="4" t="s">
        <v>76</v>
      </c>
      <c r="C35" t="s">
        <v>77</v>
      </c>
      <c r="D35" s="6">
        <v>0</v>
      </c>
    </row>
    <row r="36" spans="1:4" x14ac:dyDescent="0.25">
      <c r="A36">
        <v>2024</v>
      </c>
      <c r="B36" s="4" t="s">
        <v>78</v>
      </c>
      <c r="C36" t="s">
        <v>79</v>
      </c>
      <c r="D36" s="6">
        <v>0</v>
      </c>
    </row>
    <row r="37" spans="1:4" x14ac:dyDescent="0.25">
      <c r="A37">
        <v>2024</v>
      </c>
      <c r="B37" s="4" t="s">
        <v>80</v>
      </c>
      <c r="C37" t="s">
        <v>81</v>
      </c>
      <c r="D37">
        <v>0</v>
      </c>
    </row>
    <row r="38" spans="1:4" x14ac:dyDescent="0.25">
      <c r="A38">
        <v>2024</v>
      </c>
      <c r="B38" s="4" t="s">
        <v>82</v>
      </c>
      <c r="C38" t="s">
        <v>83</v>
      </c>
      <c r="D38" s="6">
        <v>0</v>
      </c>
    </row>
    <row r="39" spans="1:4" x14ac:dyDescent="0.25">
      <c r="A39">
        <v>2024</v>
      </c>
      <c r="B39" s="4" t="s">
        <v>86</v>
      </c>
      <c r="C39" t="s">
        <v>87</v>
      </c>
      <c r="D39" s="6">
        <v>0</v>
      </c>
    </row>
    <row r="40" spans="1:4" x14ac:dyDescent="0.25">
      <c r="A40">
        <v>2024</v>
      </c>
      <c r="B40" s="4" t="s">
        <v>84</v>
      </c>
      <c r="C40" t="s">
        <v>85</v>
      </c>
      <c r="D40" s="6">
        <v>160068</v>
      </c>
    </row>
    <row r="41" spans="1:4" x14ac:dyDescent="0.25">
      <c r="A41">
        <v>2024</v>
      </c>
      <c r="B41" s="4" t="s">
        <v>88</v>
      </c>
      <c r="C41" t="s">
        <v>89</v>
      </c>
      <c r="D41" s="6">
        <v>1283337</v>
      </c>
    </row>
    <row r="42" spans="1:4" x14ac:dyDescent="0.25">
      <c r="A42">
        <v>2024</v>
      </c>
      <c r="B42" s="4" t="s">
        <v>90</v>
      </c>
      <c r="C42" t="s">
        <v>91</v>
      </c>
      <c r="D42" s="6">
        <v>0</v>
      </c>
    </row>
    <row r="43" spans="1:4" x14ac:dyDescent="0.25">
      <c r="A43">
        <v>2024</v>
      </c>
      <c r="B43" s="4" t="s">
        <v>92</v>
      </c>
      <c r="C43" t="s">
        <v>93</v>
      </c>
      <c r="D43">
        <v>0</v>
      </c>
    </row>
    <row r="44" spans="1:4" x14ac:dyDescent="0.25">
      <c r="A44">
        <v>2024</v>
      </c>
      <c r="B44" s="4" t="s">
        <v>94</v>
      </c>
      <c r="C44" t="s">
        <v>95</v>
      </c>
      <c r="D44" s="6">
        <v>0</v>
      </c>
    </row>
    <row r="45" spans="1:4" x14ac:dyDescent="0.25">
      <c r="A45">
        <v>2024</v>
      </c>
      <c r="B45" s="4" t="s">
        <v>96</v>
      </c>
      <c r="C45" t="s">
        <v>97</v>
      </c>
      <c r="D45" s="6">
        <v>1300765</v>
      </c>
    </row>
    <row r="46" spans="1:4" x14ac:dyDescent="0.25">
      <c r="A46">
        <v>2024</v>
      </c>
      <c r="B46" s="4" t="s">
        <v>98</v>
      </c>
      <c r="C46" t="s">
        <v>99</v>
      </c>
      <c r="D46" s="6">
        <v>10053991</v>
      </c>
    </row>
    <row r="47" spans="1:4" x14ac:dyDescent="0.25">
      <c r="A47">
        <v>2024</v>
      </c>
      <c r="B47" s="4" t="s">
        <v>100</v>
      </c>
      <c r="C47" t="s">
        <v>101</v>
      </c>
      <c r="D47" s="6">
        <v>0</v>
      </c>
    </row>
    <row r="48" spans="1:4" x14ac:dyDescent="0.25">
      <c r="A48">
        <v>2024</v>
      </c>
      <c r="B48" s="4" t="s">
        <v>102</v>
      </c>
      <c r="C48" t="s">
        <v>103</v>
      </c>
      <c r="D48" s="6">
        <v>0</v>
      </c>
    </row>
    <row r="49" spans="1:4" x14ac:dyDescent="0.25">
      <c r="A49">
        <v>2024</v>
      </c>
      <c r="B49" s="4" t="s">
        <v>104</v>
      </c>
      <c r="C49" t="s">
        <v>105</v>
      </c>
      <c r="D49" s="6">
        <v>0</v>
      </c>
    </row>
    <row r="50" spans="1:4" x14ac:dyDescent="0.25">
      <c r="A50">
        <v>2024</v>
      </c>
      <c r="B50" s="4" t="s">
        <v>106</v>
      </c>
      <c r="C50" t="s">
        <v>107</v>
      </c>
      <c r="D50" s="6">
        <v>258521</v>
      </c>
    </row>
    <row r="51" spans="1:4" x14ac:dyDescent="0.25">
      <c r="A51">
        <v>2024</v>
      </c>
      <c r="B51" s="4" t="s">
        <v>108</v>
      </c>
      <c r="C51" t="s">
        <v>109</v>
      </c>
      <c r="D51" s="6">
        <v>1284342</v>
      </c>
    </row>
    <row r="52" spans="1:4" x14ac:dyDescent="0.25">
      <c r="A52">
        <v>2024</v>
      </c>
      <c r="B52" s="4" t="s">
        <v>110</v>
      </c>
      <c r="C52" t="s">
        <v>111</v>
      </c>
      <c r="D52" s="6">
        <v>0</v>
      </c>
    </row>
    <row r="53" spans="1:4" x14ac:dyDescent="0.25">
      <c r="A53">
        <v>2024</v>
      </c>
      <c r="B53" s="4" t="s">
        <v>112</v>
      </c>
      <c r="C53" t="s">
        <v>113</v>
      </c>
      <c r="D53" s="6">
        <v>0</v>
      </c>
    </row>
    <row r="54" spans="1:4" x14ac:dyDescent="0.25">
      <c r="A54">
        <v>2024</v>
      </c>
      <c r="B54" s="4" t="s">
        <v>114</v>
      </c>
      <c r="C54" t="s">
        <v>115</v>
      </c>
      <c r="D54" s="6">
        <v>0</v>
      </c>
    </row>
    <row r="55" spans="1:4" x14ac:dyDescent="0.25">
      <c r="A55">
        <v>2024</v>
      </c>
      <c r="B55" s="4" t="s">
        <v>116</v>
      </c>
      <c r="C55" t="s">
        <v>117</v>
      </c>
      <c r="D55" s="6">
        <v>0</v>
      </c>
    </row>
    <row r="56" spans="1:4" x14ac:dyDescent="0.25">
      <c r="A56">
        <v>2024</v>
      </c>
      <c r="B56" s="4" t="s">
        <v>118</v>
      </c>
      <c r="C56" t="s">
        <v>119</v>
      </c>
      <c r="D56" s="6">
        <v>916810</v>
      </c>
    </row>
    <row r="57" spans="1:4" x14ac:dyDescent="0.25">
      <c r="A57">
        <v>2024</v>
      </c>
      <c r="B57" s="4" t="s">
        <v>120</v>
      </c>
      <c r="C57" t="s">
        <v>121</v>
      </c>
      <c r="D57" s="6">
        <v>550000</v>
      </c>
    </row>
    <row r="58" spans="1:4" x14ac:dyDescent="0.25">
      <c r="A58">
        <v>2024</v>
      </c>
      <c r="B58" s="4" t="s">
        <v>122</v>
      </c>
      <c r="C58" t="s">
        <v>123</v>
      </c>
      <c r="D58" s="6">
        <v>0</v>
      </c>
    </row>
    <row r="59" spans="1:4" x14ac:dyDescent="0.25">
      <c r="A59">
        <v>2024</v>
      </c>
      <c r="B59" s="4" t="s">
        <v>124</v>
      </c>
      <c r="C59" t="s">
        <v>125</v>
      </c>
      <c r="D59" s="6">
        <v>0</v>
      </c>
    </row>
    <row r="60" spans="1:4" x14ac:dyDescent="0.25">
      <c r="A60">
        <v>2024</v>
      </c>
      <c r="B60" s="4" t="s">
        <v>126</v>
      </c>
      <c r="C60" t="s">
        <v>127</v>
      </c>
      <c r="D60" s="6">
        <v>0</v>
      </c>
    </row>
    <row r="61" spans="1:4" x14ac:dyDescent="0.25">
      <c r="A61">
        <v>2024</v>
      </c>
      <c r="B61" s="4" t="s">
        <v>128</v>
      </c>
      <c r="C61" t="s">
        <v>129</v>
      </c>
      <c r="D61" s="6">
        <v>1300000</v>
      </c>
    </row>
    <row r="62" spans="1:4" x14ac:dyDescent="0.25">
      <c r="A62">
        <v>2024</v>
      </c>
      <c r="B62" s="4" t="s">
        <v>131</v>
      </c>
      <c r="C62" t="s">
        <v>132</v>
      </c>
      <c r="D62" s="6">
        <v>1211348</v>
      </c>
    </row>
    <row r="63" spans="1:4" x14ac:dyDescent="0.25">
      <c r="A63">
        <v>2024</v>
      </c>
      <c r="B63" s="4" t="s">
        <v>133</v>
      </c>
      <c r="C63" t="s">
        <v>134</v>
      </c>
      <c r="D63" s="6">
        <v>0</v>
      </c>
    </row>
    <row r="64" spans="1:4" x14ac:dyDescent="0.25">
      <c r="A64">
        <v>2024</v>
      </c>
      <c r="B64" s="4" t="s">
        <v>135</v>
      </c>
      <c r="C64" t="s">
        <v>136</v>
      </c>
      <c r="D64">
        <v>0</v>
      </c>
    </row>
    <row r="65" spans="1:4" x14ac:dyDescent="0.25">
      <c r="A65">
        <v>2024</v>
      </c>
      <c r="B65" s="4" t="s">
        <v>137</v>
      </c>
      <c r="C65" t="s">
        <v>138</v>
      </c>
      <c r="D65" s="6">
        <v>100000</v>
      </c>
    </row>
    <row r="66" spans="1:4" x14ac:dyDescent="0.25">
      <c r="A66">
        <v>2024</v>
      </c>
      <c r="B66" s="4" t="s">
        <v>139</v>
      </c>
      <c r="C66" t="s">
        <v>140</v>
      </c>
      <c r="D66" s="6">
        <v>4007958</v>
      </c>
    </row>
    <row r="67" spans="1:4" x14ac:dyDescent="0.25">
      <c r="A67">
        <v>2024</v>
      </c>
      <c r="B67" s="4" t="s">
        <v>142</v>
      </c>
      <c r="C67" t="s">
        <v>143</v>
      </c>
      <c r="D67" s="6">
        <v>0</v>
      </c>
    </row>
    <row r="68" spans="1:4" x14ac:dyDescent="0.25">
      <c r="A68">
        <v>2024</v>
      </c>
      <c r="B68" s="4" t="s">
        <v>144</v>
      </c>
      <c r="C68" t="s">
        <v>145</v>
      </c>
      <c r="D68" s="6">
        <v>0</v>
      </c>
    </row>
    <row r="69" spans="1:4" x14ac:dyDescent="0.25">
      <c r="A69">
        <v>2024</v>
      </c>
      <c r="B69" s="4" t="s">
        <v>146</v>
      </c>
      <c r="C69" t="s">
        <v>147</v>
      </c>
      <c r="D69" s="6">
        <v>779210</v>
      </c>
    </row>
    <row r="70" spans="1:4" x14ac:dyDescent="0.25">
      <c r="A70">
        <v>2024</v>
      </c>
      <c r="B70" s="4" t="s">
        <v>148</v>
      </c>
      <c r="C70" t="s">
        <v>149</v>
      </c>
      <c r="D70" s="6">
        <v>778611</v>
      </c>
    </row>
    <row r="71" spans="1:4" x14ac:dyDescent="0.25">
      <c r="A71">
        <v>2024</v>
      </c>
      <c r="B71" s="4" t="s">
        <v>150</v>
      </c>
      <c r="C71" t="s">
        <v>151</v>
      </c>
      <c r="D71" s="6">
        <v>0</v>
      </c>
    </row>
    <row r="72" spans="1:4" x14ac:dyDescent="0.25">
      <c r="A72">
        <v>2024</v>
      </c>
      <c r="B72" s="4" t="s">
        <v>152</v>
      </c>
      <c r="C72" t="s">
        <v>153</v>
      </c>
      <c r="D72" s="6">
        <v>460000</v>
      </c>
    </row>
    <row r="73" spans="1:4" x14ac:dyDescent="0.25">
      <c r="A73">
        <v>2024</v>
      </c>
      <c r="B73" s="4" t="s">
        <v>154</v>
      </c>
      <c r="C73" t="s">
        <v>155</v>
      </c>
      <c r="D73" s="6">
        <v>0</v>
      </c>
    </row>
    <row r="74" spans="1:4" x14ac:dyDescent="0.25">
      <c r="A74">
        <v>2024</v>
      </c>
      <c r="B74" s="4" t="s">
        <v>156</v>
      </c>
      <c r="C74" t="s">
        <v>157</v>
      </c>
      <c r="D74" s="6">
        <v>0</v>
      </c>
    </row>
    <row r="75" spans="1:4" x14ac:dyDescent="0.25">
      <c r="A75">
        <v>2024</v>
      </c>
      <c r="B75" s="4" t="s">
        <v>158</v>
      </c>
      <c r="C75" t="s">
        <v>159</v>
      </c>
      <c r="D75" s="6">
        <v>0</v>
      </c>
    </row>
    <row r="76" spans="1:4" x14ac:dyDescent="0.25">
      <c r="A76">
        <v>2024</v>
      </c>
      <c r="B76" s="4" t="s">
        <v>160</v>
      </c>
      <c r="C76" t="s">
        <v>161</v>
      </c>
      <c r="D76" s="6">
        <v>5299348</v>
      </c>
    </row>
    <row r="77" spans="1:4" x14ac:dyDescent="0.25">
      <c r="A77">
        <v>2024</v>
      </c>
      <c r="B77" s="4" t="s">
        <v>162</v>
      </c>
      <c r="C77" t="s">
        <v>163</v>
      </c>
      <c r="D77" s="6">
        <v>160375</v>
      </c>
    </row>
    <row r="78" spans="1:4" x14ac:dyDescent="0.25">
      <c r="A78">
        <v>2024</v>
      </c>
      <c r="B78" s="4" t="s">
        <v>164</v>
      </c>
      <c r="C78" t="s">
        <v>165</v>
      </c>
      <c r="D78" s="6">
        <v>2519311</v>
      </c>
    </row>
    <row r="79" spans="1:4" x14ac:dyDescent="0.25">
      <c r="A79">
        <v>2024</v>
      </c>
      <c r="B79" s="4" t="s">
        <v>166</v>
      </c>
      <c r="C79" t="s">
        <v>167</v>
      </c>
      <c r="D79" s="6">
        <v>0</v>
      </c>
    </row>
    <row r="80" spans="1:4" x14ac:dyDescent="0.25">
      <c r="A80">
        <v>2024</v>
      </c>
      <c r="B80" s="4" t="s">
        <v>168</v>
      </c>
      <c r="C80" t="s">
        <v>169</v>
      </c>
      <c r="D80" s="6">
        <v>6775876</v>
      </c>
    </row>
    <row r="81" spans="1:4" x14ac:dyDescent="0.25">
      <c r="A81">
        <v>2024</v>
      </c>
      <c r="B81" s="4" t="s">
        <v>170</v>
      </c>
      <c r="C81" t="s">
        <v>171</v>
      </c>
      <c r="D81" s="6">
        <v>0</v>
      </c>
    </row>
    <row r="82" spans="1:4" x14ac:dyDescent="0.25">
      <c r="A82">
        <v>2024</v>
      </c>
      <c r="B82" s="4" t="s">
        <v>172</v>
      </c>
      <c r="C82" t="s">
        <v>173</v>
      </c>
      <c r="D82" s="6">
        <v>739166</v>
      </c>
    </row>
    <row r="83" spans="1:4" x14ac:dyDescent="0.25">
      <c r="A83">
        <v>2024</v>
      </c>
      <c r="B83" s="4" t="s">
        <v>174</v>
      </c>
      <c r="C83" t="s">
        <v>175</v>
      </c>
      <c r="D83" s="6">
        <v>39393</v>
      </c>
    </row>
    <row r="84" spans="1:4" x14ac:dyDescent="0.25">
      <c r="A84">
        <v>2024</v>
      </c>
      <c r="B84" s="4" t="s">
        <v>176</v>
      </c>
      <c r="C84" t="s">
        <v>177</v>
      </c>
      <c r="D84" s="6">
        <v>0</v>
      </c>
    </row>
    <row r="85" spans="1:4" x14ac:dyDescent="0.25">
      <c r="A85">
        <v>2024</v>
      </c>
      <c r="B85" s="4" t="s">
        <v>178</v>
      </c>
      <c r="C85" t="s">
        <v>179</v>
      </c>
      <c r="D85" s="6">
        <v>645000</v>
      </c>
    </row>
    <row r="86" spans="1:4" x14ac:dyDescent="0.25">
      <c r="A86">
        <v>2024</v>
      </c>
      <c r="B86" s="4" t="s">
        <v>180</v>
      </c>
      <c r="C86" t="s">
        <v>181</v>
      </c>
      <c r="D86" s="6">
        <v>0</v>
      </c>
    </row>
    <row r="87" spans="1:4" x14ac:dyDescent="0.25">
      <c r="A87">
        <v>2024</v>
      </c>
      <c r="B87" s="4" t="s">
        <v>182</v>
      </c>
      <c r="C87" t="s">
        <v>183</v>
      </c>
      <c r="D87" s="6">
        <v>170000</v>
      </c>
    </row>
    <row r="88" spans="1:4" x14ac:dyDescent="0.25">
      <c r="A88">
        <v>2024</v>
      </c>
      <c r="B88" s="4" t="s">
        <v>184</v>
      </c>
      <c r="C88" t="s">
        <v>185</v>
      </c>
      <c r="D88" s="6">
        <v>893842</v>
      </c>
    </row>
    <row r="89" spans="1:4" x14ac:dyDescent="0.25">
      <c r="A89">
        <v>2024</v>
      </c>
      <c r="B89" s="4" t="s">
        <v>186</v>
      </c>
      <c r="C89" t="s">
        <v>187</v>
      </c>
      <c r="D89" s="6">
        <v>878172</v>
      </c>
    </row>
    <row r="90" spans="1:4" x14ac:dyDescent="0.25">
      <c r="A90">
        <v>2024</v>
      </c>
      <c r="B90" s="4" t="s">
        <v>188</v>
      </c>
      <c r="C90" t="s">
        <v>189</v>
      </c>
      <c r="D90">
        <v>0</v>
      </c>
    </row>
    <row r="91" spans="1:4" x14ac:dyDescent="0.25">
      <c r="A91">
        <v>2024</v>
      </c>
      <c r="B91" s="4" t="s">
        <v>190</v>
      </c>
      <c r="C91" t="s">
        <v>191</v>
      </c>
      <c r="D91" s="6">
        <v>0</v>
      </c>
    </row>
    <row r="92" spans="1:4" x14ac:dyDescent="0.25">
      <c r="A92">
        <v>2024</v>
      </c>
      <c r="B92" s="4" t="s">
        <v>192</v>
      </c>
      <c r="C92" t="s">
        <v>193</v>
      </c>
      <c r="D92" s="6">
        <v>0</v>
      </c>
    </row>
    <row r="93" spans="1:4" x14ac:dyDescent="0.25">
      <c r="A93">
        <v>2024</v>
      </c>
      <c r="B93" s="4" t="s">
        <v>194</v>
      </c>
      <c r="C93" t="s">
        <v>195</v>
      </c>
      <c r="D93" s="6">
        <v>0</v>
      </c>
    </row>
    <row r="94" spans="1:4" x14ac:dyDescent="0.25">
      <c r="A94">
        <v>2024</v>
      </c>
      <c r="B94" s="4" t="s">
        <v>196</v>
      </c>
      <c r="C94" t="s">
        <v>197</v>
      </c>
      <c r="D94" s="6">
        <v>91076</v>
      </c>
    </row>
    <row r="95" spans="1:4" x14ac:dyDescent="0.25">
      <c r="A95">
        <v>2024</v>
      </c>
      <c r="B95" s="4" t="s">
        <v>198</v>
      </c>
      <c r="C95" t="s">
        <v>200</v>
      </c>
      <c r="D95" s="6">
        <v>0</v>
      </c>
    </row>
    <row r="96" spans="1:4" x14ac:dyDescent="0.25">
      <c r="A96">
        <v>2024</v>
      </c>
      <c r="B96" s="4" t="s">
        <v>201</v>
      </c>
      <c r="C96" t="s">
        <v>202</v>
      </c>
      <c r="D96" s="6">
        <v>0</v>
      </c>
    </row>
    <row r="97" spans="1:4" x14ac:dyDescent="0.25">
      <c r="A97">
        <v>2024</v>
      </c>
      <c r="B97" s="4" t="s">
        <v>203</v>
      </c>
      <c r="C97" t="s">
        <v>204</v>
      </c>
      <c r="D97" s="6">
        <v>354507</v>
      </c>
    </row>
    <row r="98" spans="1:4" x14ac:dyDescent="0.25">
      <c r="A98">
        <v>2024</v>
      </c>
      <c r="B98" s="4" t="s">
        <v>205</v>
      </c>
      <c r="C98" t="s">
        <v>206</v>
      </c>
      <c r="D98" s="6">
        <v>0</v>
      </c>
    </row>
    <row r="99" spans="1:4" x14ac:dyDescent="0.25">
      <c r="A99">
        <v>2024</v>
      </c>
      <c r="B99" s="4" t="s">
        <v>207</v>
      </c>
      <c r="C99" t="s">
        <v>208</v>
      </c>
      <c r="D99" s="6">
        <v>427239</v>
      </c>
    </row>
    <row r="100" spans="1:4" x14ac:dyDescent="0.25">
      <c r="A100">
        <v>2024</v>
      </c>
      <c r="B100" s="4" t="s">
        <v>209</v>
      </c>
      <c r="C100" t="s">
        <v>210</v>
      </c>
      <c r="D100" s="6">
        <v>0</v>
      </c>
    </row>
    <row r="101" spans="1:4" x14ac:dyDescent="0.25">
      <c r="A101">
        <v>2024</v>
      </c>
      <c r="B101" s="4" t="s">
        <v>211</v>
      </c>
      <c r="C101" t="s">
        <v>212</v>
      </c>
      <c r="D101" s="6">
        <v>0</v>
      </c>
    </row>
    <row r="102" spans="1:4" x14ac:dyDescent="0.25">
      <c r="A102">
        <v>2024</v>
      </c>
      <c r="B102" s="4" t="s">
        <v>213</v>
      </c>
      <c r="C102" t="s">
        <v>214</v>
      </c>
      <c r="D102" s="6">
        <v>0</v>
      </c>
    </row>
    <row r="103" spans="1:4" x14ac:dyDescent="0.25">
      <c r="A103">
        <v>2024</v>
      </c>
      <c r="B103" s="4" t="s">
        <v>215</v>
      </c>
      <c r="C103" t="s">
        <v>216</v>
      </c>
      <c r="D103">
        <v>0</v>
      </c>
    </row>
    <row r="104" spans="1:4" x14ac:dyDescent="0.25">
      <c r="A104">
        <v>2024</v>
      </c>
      <c r="B104" s="4" t="s">
        <v>217</v>
      </c>
      <c r="C104" t="s">
        <v>218</v>
      </c>
      <c r="D104" s="6">
        <v>0</v>
      </c>
    </row>
    <row r="105" spans="1:4" x14ac:dyDescent="0.25">
      <c r="A105">
        <v>2024</v>
      </c>
      <c r="B105" s="4" t="s">
        <v>219</v>
      </c>
      <c r="C105" t="s">
        <v>220</v>
      </c>
      <c r="D105" s="6">
        <v>0</v>
      </c>
    </row>
    <row r="106" spans="1:4" x14ac:dyDescent="0.25">
      <c r="A106">
        <v>2024</v>
      </c>
      <c r="B106" s="4" t="s">
        <v>221</v>
      </c>
      <c r="C106" t="s">
        <v>222</v>
      </c>
      <c r="D106" s="6">
        <v>167640</v>
      </c>
    </row>
    <row r="107" spans="1:4" x14ac:dyDescent="0.25">
      <c r="A107">
        <v>2024</v>
      </c>
      <c r="B107" s="4" t="s">
        <v>223</v>
      </c>
      <c r="C107" t="s">
        <v>224</v>
      </c>
      <c r="D107" s="6">
        <v>1066295</v>
      </c>
    </row>
    <row r="108" spans="1:4" x14ac:dyDescent="0.25">
      <c r="A108">
        <v>2024</v>
      </c>
      <c r="B108" s="4" t="s">
        <v>225</v>
      </c>
      <c r="C108" t="s">
        <v>226</v>
      </c>
      <c r="D108">
        <v>0</v>
      </c>
    </row>
    <row r="109" spans="1:4" x14ac:dyDescent="0.25">
      <c r="A109">
        <v>2024</v>
      </c>
      <c r="B109" s="4" t="s">
        <v>227</v>
      </c>
      <c r="C109" t="s">
        <v>228</v>
      </c>
      <c r="D109" s="6">
        <v>400000</v>
      </c>
    </row>
    <row r="110" spans="1:4" x14ac:dyDescent="0.25">
      <c r="A110">
        <v>2024</v>
      </c>
      <c r="B110" s="4" t="s">
        <v>229</v>
      </c>
      <c r="C110" t="s">
        <v>230</v>
      </c>
      <c r="D110" s="6">
        <v>0</v>
      </c>
    </row>
    <row r="111" spans="1:4" x14ac:dyDescent="0.25">
      <c r="A111">
        <v>2024</v>
      </c>
      <c r="B111" s="4" t="s">
        <v>231</v>
      </c>
      <c r="C111" t="s">
        <v>232</v>
      </c>
      <c r="D111" s="6">
        <v>500000</v>
      </c>
    </row>
    <row r="112" spans="1:4" x14ac:dyDescent="0.25">
      <c r="A112">
        <v>2024</v>
      </c>
      <c r="B112" s="4" t="s">
        <v>233</v>
      </c>
      <c r="C112" t="s">
        <v>234</v>
      </c>
      <c r="D112" s="6">
        <v>0</v>
      </c>
    </row>
    <row r="113" spans="1:4" x14ac:dyDescent="0.25">
      <c r="A113">
        <v>2024</v>
      </c>
      <c r="B113" s="4" t="s">
        <v>235</v>
      </c>
      <c r="C113" t="s">
        <v>236</v>
      </c>
      <c r="D113" s="6">
        <v>150508</v>
      </c>
    </row>
    <row r="114" spans="1:4" x14ac:dyDescent="0.25">
      <c r="A114">
        <v>2024</v>
      </c>
      <c r="B114" s="4" t="s">
        <v>253</v>
      </c>
      <c r="C114" t="s">
        <v>254</v>
      </c>
      <c r="D114">
        <v>0</v>
      </c>
    </row>
    <row r="115" spans="1:4" x14ac:dyDescent="0.25">
      <c r="A115">
        <v>2024</v>
      </c>
      <c r="B115" s="4" t="s">
        <v>237</v>
      </c>
      <c r="C115" t="s">
        <v>238</v>
      </c>
      <c r="D115" s="6">
        <v>0</v>
      </c>
    </row>
    <row r="116" spans="1:4" x14ac:dyDescent="0.25">
      <c r="A116">
        <v>2024</v>
      </c>
      <c r="B116" s="4" t="s">
        <v>239</v>
      </c>
      <c r="C116" t="s">
        <v>240</v>
      </c>
      <c r="D116" s="6">
        <v>0</v>
      </c>
    </row>
    <row r="117" spans="1:4" x14ac:dyDescent="0.25">
      <c r="A117">
        <v>2024</v>
      </c>
      <c r="B117" s="4" t="s">
        <v>241</v>
      </c>
      <c r="C117" t="s">
        <v>242</v>
      </c>
      <c r="D117" s="6">
        <v>0</v>
      </c>
    </row>
    <row r="118" spans="1:4" x14ac:dyDescent="0.25">
      <c r="A118">
        <v>2024</v>
      </c>
      <c r="B118" s="4" t="s">
        <v>243</v>
      </c>
      <c r="C118" t="s">
        <v>244</v>
      </c>
      <c r="D118" s="6">
        <v>116393</v>
      </c>
    </row>
    <row r="119" spans="1:4" x14ac:dyDescent="0.25">
      <c r="A119">
        <v>2024</v>
      </c>
      <c r="B119" s="4" t="s">
        <v>245</v>
      </c>
      <c r="C119" t="s">
        <v>246</v>
      </c>
      <c r="D119" s="6">
        <v>400000</v>
      </c>
    </row>
    <row r="120" spans="1:4" x14ac:dyDescent="0.25">
      <c r="A120">
        <v>2024</v>
      </c>
      <c r="B120" s="4" t="s">
        <v>247</v>
      </c>
      <c r="C120" t="s">
        <v>248</v>
      </c>
      <c r="D120" s="6">
        <v>179123</v>
      </c>
    </row>
    <row r="121" spans="1:4" x14ac:dyDescent="0.25">
      <c r="A121">
        <v>2024</v>
      </c>
      <c r="B121" s="4" t="s">
        <v>249</v>
      </c>
      <c r="C121" t="s">
        <v>250</v>
      </c>
      <c r="D121" s="6">
        <v>1005000</v>
      </c>
    </row>
    <row r="122" spans="1:4" x14ac:dyDescent="0.25">
      <c r="A122">
        <v>2024</v>
      </c>
      <c r="B122" s="4" t="s">
        <v>251</v>
      </c>
      <c r="C122" t="s">
        <v>252</v>
      </c>
      <c r="D122">
        <v>0</v>
      </c>
    </row>
    <row r="123" spans="1:4" x14ac:dyDescent="0.25">
      <c r="A123">
        <v>2024</v>
      </c>
      <c r="B123" s="4" t="s">
        <v>255</v>
      </c>
      <c r="C123" t="s">
        <v>256</v>
      </c>
      <c r="D123" s="6">
        <v>315000</v>
      </c>
    </row>
    <row r="124" spans="1:4" x14ac:dyDescent="0.25">
      <c r="A124">
        <v>2024</v>
      </c>
      <c r="B124" s="4" t="s">
        <v>257</v>
      </c>
      <c r="C124" t="s">
        <v>258</v>
      </c>
      <c r="D124" s="6">
        <v>1000000</v>
      </c>
    </row>
    <row r="125" spans="1:4" x14ac:dyDescent="0.25">
      <c r="A125">
        <v>2024</v>
      </c>
      <c r="B125" s="4" t="s">
        <v>259</v>
      </c>
      <c r="C125" t="s">
        <v>260</v>
      </c>
      <c r="D125" s="6">
        <v>636729</v>
      </c>
    </row>
    <row r="126" spans="1:4" x14ac:dyDescent="0.25">
      <c r="A126">
        <v>2024</v>
      </c>
      <c r="B126" s="4" t="s">
        <v>261</v>
      </c>
      <c r="C126" t="s">
        <v>262</v>
      </c>
      <c r="D126" s="6">
        <v>0</v>
      </c>
    </row>
    <row r="127" spans="1:4" x14ac:dyDescent="0.25">
      <c r="A127">
        <v>2024</v>
      </c>
      <c r="B127" s="4" t="s">
        <v>263</v>
      </c>
      <c r="C127" t="s">
        <v>264</v>
      </c>
      <c r="D127" s="6">
        <v>735086</v>
      </c>
    </row>
    <row r="128" spans="1:4" x14ac:dyDescent="0.25">
      <c r="A128">
        <v>2024</v>
      </c>
      <c r="B128" s="4" t="s">
        <v>265</v>
      </c>
      <c r="C128" t="s">
        <v>266</v>
      </c>
      <c r="D128" s="6">
        <v>0</v>
      </c>
    </row>
    <row r="129" spans="1:4" x14ac:dyDescent="0.25">
      <c r="A129">
        <v>2024</v>
      </c>
      <c r="B129" s="4" t="s">
        <v>281</v>
      </c>
      <c r="C129" t="s">
        <v>282</v>
      </c>
      <c r="D129" s="6">
        <v>0</v>
      </c>
    </row>
    <row r="130" spans="1:4" x14ac:dyDescent="0.25">
      <c r="A130">
        <v>2024</v>
      </c>
      <c r="B130" s="4" t="s">
        <v>267</v>
      </c>
      <c r="C130" t="s">
        <v>268</v>
      </c>
      <c r="D130">
        <v>0</v>
      </c>
    </row>
    <row r="131" spans="1:4" x14ac:dyDescent="0.25">
      <c r="A131">
        <v>2024</v>
      </c>
      <c r="B131" s="4" t="s">
        <v>269</v>
      </c>
      <c r="C131" t="s">
        <v>270</v>
      </c>
      <c r="D131" s="6">
        <v>453789</v>
      </c>
    </row>
    <row r="132" spans="1:4" x14ac:dyDescent="0.25">
      <c r="A132">
        <v>2024</v>
      </c>
      <c r="B132" s="4" t="s">
        <v>271</v>
      </c>
      <c r="C132" t="s">
        <v>272</v>
      </c>
      <c r="D132" s="6">
        <v>0</v>
      </c>
    </row>
    <row r="133" spans="1:4" x14ac:dyDescent="0.25">
      <c r="A133">
        <v>2024</v>
      </c>
      <c r="B133" s="4" t="s">
        <v>273</v>
      </c>
      <c r="C133" t="s">
        <v>274</v>
      </c>
      <c r="D133" s="6">
        <v>0</v>
      </c>
    </row>
    <row r="134" spans="1:4" x14ac:dyDescent="0.25">
      <c r="A134">
        <v>2024</v>
      </c>
      <c r="B134" s="4" t="s">
        <v>275</v>
      </c>
      <c r="C134" t="s">
        <v>276</v>
      </c>
      <c r="D134" s="6">
        <v>268190</v>
      </c>
    </row>
    <row r="135" spans="1:4" x14ac:dyDescent="0.25">
      <c r="A135">
        <v>2024</v>
      </c>
      <c r="B135" s="4" t="s">
        <v>277</v>
      </c>
      <c r="C135" t="s">
        <v>278</v>
      </c>
      <c r="D135" s="6">
        <v>0</v>
      </c>
    </row>
    <row r="136" spans="1:4" x14ac:dyDescent="0.25">
      <c r="A136">
        <v>2024</v>
      </c>
      <c r="B136" s="4" t="s">
        <v>279</v>
      </c>
      <c r="C136" t="s">
        <v>280</v>
      </c>
      <c r="D136" s="6">
        <v>0</v>
      </c>
    </row>
    <row r="137" spans="1:4" x14ac:dyDescent="0.25">
      <c r="A137">
        <v>2024</v>
      </c>
      <c r="B137" s="4" t="s">
        <v>283</v>
      </c>
      <c r="C137" t="s">
        <v>284</v>
      </c>
      <c r="D137" s="6">
        <v>0</v>
      </c>
    </row>
    <row r="138" spans="1:4" x14ac:dyDescent="0.25">
      <c r="A138">
        <v>2024</v>
      </c>
      <c r="B138" s="4" t="s">
        <v>285</v>
      </c>
      <c r="C138" t="s">
        <v>286</v>
      </c>
      <c r="D138" s="6">
        <v>0</v>
      </c>
    </row>
    <row r="139" spans="1:4" x14ac:dyDescent="0.25">
      <c r="A139">
        <v>2024</v>
      </c>
      <c r="B139" s="4" t="s">
        <v>287</v>
      </c>
      <c r="C139" t="s">
        <v>288</v>
      </c>
      <c r="D139" s="6">
        <v>0</v>
      </c>
    </row>
    <row r="140" spans="1:4" x14ac:dyDescent="0.25">
      <c r="A140">
        <v>2024</v>
      </c>
      <c r="B140" s="4" t="s">
        <v>289</v>
      </c>
      <c r="C140" t="s">
        <v>290</v>
      </c>
      <c r="D140" s="6">
        <v>0</v>
      </c>
    </row>
    <row r="141" spans="1:4" x14ac:dyDescent="0.25">
      <c r="A141">
        <v>2024</v>
      </c>
      <c r="B141" s="4" t="s">
        <v>291</v>
      </c>
      <c r="C141" t="s">
        <v>678</v>
      </c>
      <c r="D141">
        <v>0</v>
      </c>
    </row>
    <row r="142" spans="1:4" x14ac:dyDescent="0.25">
      <c r="A142">
        <v>2024</v>
      </c>
      <c r="B142" s="4" t="s">
        <v>292</v>
      </c>
      <c r="C142" t="s">
        <v>293</v>
      </c>
      <c r="D142" s="6">
        <v>0</v>
      </c>
    </row>
    <row r="143" spans="1:4" x14ac:dyDescent="0.25">
      <c r="A143">
        <v>2024</v>
      </c>
      <c r="B143" s="4" t="s">
        <v>294</v>
      </c>
      <c r="C143" t="s">
        <v>295</v>
      </c>
      <c r="D143" s="6">
        <v>900000</v>
      </c>
    </row>
    <row r="144" spans="1:4" x14ac:dyDescent="0.25">
      <c r="A144">
        <v>2024</v>
      </c>
      <c r="B144" s="4" t="s">
        <v>296</v>
      </c>
      <c r="C144" t="s">
        <v>297</v>
      </c>
      <c r="D144" s="6">
        <v>444512</v>
      </c>
    </row>
    <row r="145" spans="1:4" x14ac:dyDescent="0.25">
      <c r="A145">
        <v>2024</v>
      </c>
      <c r="B145" s="4" t="s">
        <v>298</v>
      </c>
      <c r="C145" t="s">
        <v>299</v>
      </c>
      <c r="D145" s="6">
        <v>17500000</v>
      </c>
    </row>
    <row r="146" spans="1:4" x14ac:dyDescent="0.25">
      <c r="A146">
        <v>2024</v>
      </c>
      <c r="B146" s="4" t="s">
        <v>300</v>
      </c>
      <c r="C146" t="s">
        <v>301</v>
      </c>
      <c r="D146" s="6">
        <v>763772</v>
      </c>
    </row>
    <row r="147" spans="1:4" x14ac:dyDescent="0.25">
      <c r="A147">
        <v>2024</v>
      </c>
      <c r="B147" s="4" t="s">
        <v>302</v>
      </c>
      <c r="C147" t="s">
        <v>303</v>
      </c>
      <c r="D147" s="6">
        <v>0</v>
      </c>
    </row>
    <row r="148" spans="1:4" x14ac:dyDescent="0.25">
      <c r="A148">
        <v>2024</v>
      </c>
      <c r="B148" s="4" t="s">
        <v>304</v>
      </c>
      <c r="C148" t="s">
        <v>305</v>
      </c>
      <c r="D148" s="6">
        <v>0</v>
      </c>
    </row>
    <row r="149" spans="1:4" x14ac:dyDescent="0.25">
      <c r="A149">
        <v>2024</v>
      </c>
      <c r="B149" s="4" t="s">
        <v>306</v>
      </c>
      <c r="C149" t="s">
        <v>307</v>
      </c>
      <c r="D149" s="6">
        <v>435000</v>
      </c>
    </row>
    <row r="150" spans="1:4" x14ac:dyDescent="0.25">
      <c r="A150">
        <v>2024</v>
      </c>
      <c r="B150" s="4" t="s">
        <v>308</v>
      </c>
      <c r="C150" t="s">
        <v>309</v>
      </c>
      <c r="D150" s="6">
        <v>0</v>
      </c>
    </row>
    <row r="151" spans="1:4" x14ac:dyDescent="0.25">
      <c r="A151">
        <v>2024</v>
      </c>
      <c r="B151" s="4" t="s">
        <v>310</v>
      </c>
      <c r="C151" t="s">
        <v>311</v>
      </c>
      <c r="D151" s="6">
        <v>0</v>
      </c>
    </row>
    <row r="152" spans="1:4" x14ac:dyDescent="0.25">
      <c r="A152">
        <v>2024</v>
      </c>
      <c r="B152" s="4" t="s">
        <v>312</v>
      </c>
      <c r="C152" t="s">
        <v>313</v>
      </c>
      <c r="D152" s="6">
        <v>228901</v>
      </c>
    </row>
    <row r="153" spans="1:4" x14ac:dyDescent="0.25">
      <c r="A153">
        <v>2024</v>
      </c>
      <c r="B153" s="4" t="s">
        <v>314</v>
      </c>
      <c r="C153" t="s">
        <v>315</v>
      </c>
      <c r="D153" s="6">
        <v>0</v>
      </c>
    </row>
    <row r="154" spans="1:4" x14ac:dyDescent="0.25">
      <c r="A154">
        <v>2024</v>
      </c>
      <c r="B154" s="4" t="s">
        <v>316</v>
      </c>
      <c r="C154" t="s">
        <v>317</v>
      </c>
      <c r="D154" s="6">
        <v>510541</v>
      </c>
    </row>
    <row r="155" spans="1:4" x14ac:dyDescent="0.25">
      <c r="A155">
        <v>2024</v>
      </c>
      <c r="B155" s="4" t="s">
        <v>318</v>
      </c>
      <c r="C155" t="s">
        <v>319</v>
      </c>
      <c r="D155" s="6">
        <v>0</v>
      </c>
    </row>
    <row r="156" spans="1:4" x14ac:dyDescent="0.25">
      <c r="A156">
        <v>2024</v>
      </c>
      <c r="B156" s="4" t="s">
        <v>320</v>
      </c>
      <c r="C156" t="s">
        <v>321</v>
      </c>
      <c r="D156" s="6">
        <v>259900</v>
      </c>
    </row>
    <row r="157" spans="1:4" x14ac:dyDescent="0.25">
      <c r="A157">
        <v>2024</v>
      </c>
      <c r="B157" s="4" t="s">
        <v>322</v>
      </c>
      <c r="C157" t="s">
        <v>323</v>
      </c>
      <c r="D157" s="6">
        <v>0</v>
      </c>
    </row>
    <row r="158" spans="1:4" x14ac:dyDescent="0.25">
      <c r="A158">
        <v>2024</v>
      </c>
      <c r="B158" s="4" t="s">
        <v>324</v>
      </c>
      <c r="C158" t="s">
        <v>325</v>
      </c>
      <c r="D158" s="6">
        <v>0</v>
      </c>
    </row>
    <row r="159" spans="1:4" x14ac:dyDescent="0.25">
      <c r="A159">
        <v>2024</v>
      </c>
      <c r="B159" s="4" t="s">
        <v>326</v>
      </c>
      <c r="C159" t="s">
        <v>327</v>
      </c>
      <c r="D159" s="6">
        <v>0</v>
      </c>
    </row>
    <row r="160" spans="1:4" x14ac:dyDescent="0.25">
      <c r="A160">
        <v>2024</v>
      </c>
      <c r="B160" s="4" t="s">
        <v>328</v>
      </c>
      <c r="C160" t="s">
        <v>329</v>
      </c>
      <c r="D160" s="6">
        <v>0</v>
      </c>
    </row>
    <row r="161" spans="1:4" x14ac:dyDescent="0.25">
      <c r="A161">
        <v>2024</v>
      </c>
      <c r="B161" s="4" t="s">
        <v>330</v>
      </c>
      <c r="C161" t="s">
        <v>331</v>
      </c>
      <c r="D161" s="6">
        <v>0</v>
      </c>
    </row>
    <row r="162" spans="1:4" x14ac:dyDescent="0.25">
      <c r="A162">
        <v>2024</v>
      </c>
      <c r="B162" s="4" t="s">
        <v>332</v>
      </c>
      <c r="C162" t="s">
        <v>333</v>
      </c>
      <c r="D162" s="6">
        <v>8366323</v>
      </c>
    </row>
    <row r="163" spans="1:4" x14ac:dyDescent="0.25">
      <c r="A163">
        <v>2024</v>
      </c>
      <c r="B163" s="4" t="s">
        <v>334</v>
      </c>
      <c r="C163" t="s">
        <v>335</v>
      </c>
      <c r="D163" s="6">
        <v>244229</v>
      </c>
    </row>
    <row r="164" spans="1:4" x14ac:dyDescent="0.25">
      <c r="A164">
        <v>2024</v>
      </c>
      <c r="B164" s="4" t="s">
        <v>336</v>
      </c>
      <c r="C164" t="s">
        <v>337</v>
      </c>
      <c r="D164" s="6">
        <v>0</v>
      </c>
    </row>
    <row r="165" spans="1:4" x14ac:dyDescent="0.25">
      <c r="A165">
        <v>2024</v>
      </c>
      <c r="B165" s="4" t="s">
        <v>338</v>
      </c>
      <c r="C165" t="s">
        <v>339</v>
      </c>
      <c r="D165" s="6">
        <v>0</v>
      </c>
    </row>
    <row r="166" spans="1:4" x14ac:dyDescent="0.25">
      <c r="A166">
        <v>2024</v>
      </c>
      <c r="B166" s="4" t="s">
        <v>340</v>
      </c>
      <c r="C166" t="s">
        <v>341</v>
      </c>
      <c r="D166" s="6">
        <v>0</v>
      </c>
    </row>
    <row r="167" spans="1:4" x14ac:dyDescent="0.25">
      <c r="A167">
        <v>2024</v>
      </c>
      <c r="B167" s="4" t="s">
        <v>343</v>
      </c>
      <c r="C167" t="s">
        <v>344</v>
      </c>
      <c r="D167" s="6">
        <v>0</v>
      </c>
    </row>
    <row r="168" spans="1:4" x14ac:dyDescent="0.25">
      <c r="A168">
        <v>2024</v>
      </c>
      <c r="B168" s="4" t="s">
        <v>369</v>
      </c>
      <c r="C168" t="s">
        <v>370</v>
      </c>
      <c r="D168" s="6">
        <v>0</v>
      </c>
    </row>
    <row r="169" spans="1:4" x14ac:dyDescent="0.25">
      <c r="A169">
        <v>2024</v>
      </c>
      <c r="B169" s="4" t="s">
        <v>345</v>
      </c>
      <c r="C169" t="s">
        <v>346</v>
      </c>
      <c r="D169" s="6">
        <v>200000</v>
      </c>
    </row>
    <row r="170" spans="1:4" x14ac:dyDescent="0.25">
      <c r="A170">
        <v>2024</v>
      </c>
      <c r="B170" s="4" t="s">
        <v>347</v>
      </c>
      <c r="C170" t="s">
        <v>348</v>
      </c>
      <c r="D170" s="6">
        <v>0</v>
      </c>
    </row>
    <row r="171" spans="1:4" x14ac:dyDescent="0.25">
      <c r="A171">
        <v>2024</v>
      </c>
      <c r="B171" s="4" t="s">
        <v>349</v>
      </c>
      <c r="C171" t="s">
        <v>350</v>
      </c>
      <c r="D171" s="6">
        <v>0</v>
      </c>
    </row>
    <row r="172" spans="1:4" x14ac:dyDescent="0.25">
      <c r="A172">
        <v>2024</v>
      </c>
      <c r="B172" s="4" t="s">
        <v>351</v>
      </c>
      <c r="C172" t="s">
        <v>352</v>
      </c>
      <c r="D172" s="6">
        <v>416147</v>
      </c>
    </row>
    <row r="173" spans="1:4" x14ac:dyDescent="0.25">
      <c r="A173">
        <v>2024</v>
      </c>
      <c r="B173" s="4" t="s">
        <v>353</v>
      </c>
      <c r="C173" t="s">
        <v>354</v>
      </c>
      <c r="D173" s="6">
        <v>0</v>
      </c>
    </row>
    <row r="174" spans="1:4" x14ac:dyDescent="0.25">
      <c r="A174">
        <v>2024</v>
      </c>
      <c r="B174" s="4" t="s">
        <v>355</v>
      </c>
      <c r="C174" t="s">
        <v>356</v>
      </c>
      <c r="D174" s="6">
        <v>271062</v>
      </c>
    </row>
    <row r="175" spans="1:4" x14ac:dyDescent="0.25">
      <c r="A175">
        <v>2024</v>
      </c>
      <c r="B175" s="4" t="s">
        <v>357</v>
      </c>
      <c r="C175" t="s">
        <v>358</v>
      </c>
      <c r="D175" s="6">
        <v>0</v>
      </c>
    </row>
    <row r="176" spans="1:4" x14ac:dyDescent="0.25">
      <c r="A176">
        <v>2024</v>
      </c>
      <c r="B176" s="4" t="s">
        <v>359</v>
      </c>
      <c r="C176" t="s">
        <v>360</v>
      </c>
      <c r="D176" s="6">
        <v>0</v>
      </c>
    </row>
    <row r="177" spans="1:4" x14ac:dyDescent="0.25">
      <c r="A177">
        <v>2024</v>
      </c>
      <c r="B177" s="4" t="s">
        <v>361</v>
      </c>
      <c r="C177" t="s">
        <v>362</v>
      </c>
      <c r="D177" s="6">
        <v>628429</v>
      </c>
    </row>
    <row r="178" spans="1:4" x14ac:dyDescent="0.25">
      <c r="A178">
        <v>2024</v>
      </c>
      <c r="B178" s="4" t="s">
        <v>363</v>
      </c>
      <c r="C178" t="s">
        <v>364</v>
      </c>
      <c r="D178" s="6">
        <v>3931297</v>
      </c>
    </row>
    <row r="179" spans="1:4" x14ac:dyDescent="0.25">
      <c r="A179">
        <v>2024</v>
      </c>
      <c r="B179" s="4" t="s">
        <v>365</v>
      </c>
      <c r="C179" t="s">
        <v>366</v>
      </c>
      <c r="D179" s="6">
        <v>0</v>
      </c>
    </row>
    <row r="180" spans="1:4" x14ac:dyDescent="0.25">
      <c r="A180">
        <v>2024</v>
      </c>
      <c r="B180" s="4" t="s">
        <v>367</v>
      </c>
      <c r="C180" t="s">
        <v>368</v>
      </c>
      <c r="D180" s="6">
        <v>0</v>
      </c>
    </row>
    <row r="181" spans="1:4" x14ac:dyDescent="0.25">
      <c r="A181">
        <v>2024</v>
      </c>
      <c r="B181" s="4" t="s">
        <v>373</v>
      </c>
      <c r="C181" t="s">
        <v>374</v>
      </c>
      <c r="D181" s="6">
        <v>102949</v>
      </c>
    </row>
    <row r="182" spans="1:4" x14ac:dyDescent="0.25">
      <c r="A182">
        <v>2024</v>
      </c>
      <c r="B182" s="4" t="s">
        <v>371</v>
      </c>
      <c r="C182" t="s">
        <v>372</v>
      </c>
      <c r="D182" s="6">
        <v>0</v>
      </c>
    </row>
    <row r="183" spans="1:4" x14ac:dyDescent="0.25">
      <c r="A183">
        <v>2024</v>
      </c>
      <c r="B183" s="4" t="s">
        <v>375</v>
      </c>
      <c r="C183" t="s">
        <v>376</v>
      </c>
      <c r="D183" s="6">
        <v>306612</v>
      </c>
    </row>
    <row r="184" spans="1:4" x14ac:dyDescent="0.25">
      <c r="A184">
        <v>2024</v>
      </c>
      <c r="B184" s="4" t="s">
        <v>377</v>
      </c>
      <c r="C184" t="s">
        <v>378</v>
      </c>
      <c r="D184" s="6">
        <v>0</v>
      </c>
    </row>
    <row r="185" spans="1:4" x14ac:dyDescent="0.25">
      <c r="A185">
        <v>2024</v>
      </c>
      <c r="B185" s="4" t="s">
        <v>379</v>
      </c>
      <c r="C185" t="s">
        <v>380</v>
      </c>
      <c r="D185" s="6">
        <v>0</v>
      </c>
    </row>
    <row r="186" spans="1:4" x14ac:dyDescent="0.25">
      <c r="A186">
        <v>2024</v>
      </c>
      <c r="B186" s="4" t="s">
        <v>381</v>
      </c>
      <c r="C186" t="s">
        <v>382</v>
      </c>
      <c r="D186" s="6">
        <v>584438</v>
      </c>
    </row>
    <row r="187" spans="1:4" x14ac:dyDescent="0.25">
      <c r="A187">
        <v>2024</v>
      </c>
      <c r="B187" s="4" t="s">
        <v>383</v>
      </c>
      <c r="C187" t="s">
        <v>384</v>
      </c>
      <c r="D187" s="6">
        <v>0</v>
      </c>
    </row>
    <row r="188" spans="1:4" x14ac:dyDescent="0.25">
      <c r="A188">
        <v>2024</v>
      </c>
      <c r="B188" s="4" t="s">
        <v>385</v>
      </c>
      <c r="C188" t="s">
        <v>386</v>
      </c>
      <c r="D188" s="6">
        <v>0</v>
      </c>
    </row>
    <row r="189" spans="1:4" x14ac:dyDescent="0.25">
      <c r="A189">
        <v>2024</v>
      </c>
      <c r="B189" s="4" t="s">
        <v>387</v>
      </c>
      <c r="C189" t="s">
        <v>388</v>
      </c>
      <c r="D189" s="6">
        <v>0</v>
      </c>
    </row>
    <row r="190" spans="1:4" x14ac:dyDescent="0.25">
      <c r="A190">
        <v>2024</v>
      </c>
      <c r="B190" s="4" t="s">
        <v>389</v>
      </c>
      <c r="C190" t="s">
        <v>390</v>
      </c>
      <c r="D190" s="6">
        <v>203088</v>
      </c>
    </row>
    <row r="191" spans="1:4" x14ac:dyDescent="0.25">
      <c r="A191">
        <v>2024</v>
      </c>
      <c r="B191" s="4" t="s">
        <v>391</v>
      </c>
      <c r="C191" t="s">
        <v>392</v>
      </c>
      <c r="D191">
        <v>0</v>
      </c>
    </row>
    <row r="192" spans="1:4" x14ac:dyDescent="0.25">
      <c r="A192">
        <v>2024</v>
      </c>
      <c r="B192" s="4" t="s">
        <v>393</v>
      </c>
      <c r="C192" t="s">
        <v>394</v>
      </c>
      <c r="D192" s="6">
        <v>750000</v>
      </c>
    </row>
    <row r="193" spans="1:4" x14ac:dyDescent="0.25">
      <c r="A193">
        <v>2024</v>
      </c>
      <c r="B193" s="4" t="s">
        <v>395</v>
      </c>
      <c r="C193" t="s">
        <v>396</v>
      </c>
      <c r="D193" s="6">
        <v>787972</v>
      </c>
    </row>
    <row r="194" spans="1:4" x14ac:dyDescent="0.25">
      <c r="A194">
        <v>2024</v>
      </c>
      <c r="B194" s="4" t="s">
        <v>397</v>
      </c>
      <c r="C194" t="s">
        <v>398</v>
      </c>
      <c r="D194" s="6">
        <v>0</v>
      </c>
    </row>
    <row r="195" spans="1:4" x14ac:dyDescent="0.25">
      <c r="A195">
        <v>2024</v>
      </c>
      <c r="B195" s="4" t="s">
        <v>399</v>
      </c>
      <c r="C195" t="s">
        <v>400</v>
      </c>
      <c r="D195" s="6">
        <v>720716</v>
      </c>
    </row>
    <row r="196" spans="1:4" x14ac:dyDescent="0.25">
      <c r="A196">
        <v>2024</v>
      </c>
      <c r="B196" s="4" t="s">
        <v>401</v>
      </c>
      <c r="C196" t="s">
        <v>402</v>
      </c>
      <c r="D196" s="6">
        <v>0</v>
      </c>
    </row>
    <row r="197" spans="1:4" x14ac:dyDescent="0.25">
      <c r="A197">
        <v>2024</v>
      </c>
      <c r="B197" s="4" t="s">
        <v>403</v>
      </c>
      <c r="C197" t="s">
        <v>404</v>
      </c>
      <c r="D197" s="6">
        <v>672410</v>
      </c>
    </row>
    <row r="198" spans="1:4" x14ac:dyDescent="0.25">
      <c r="A198">
        <v>2024</v>
      </c>
      <c r="B198" s="4" t="s">
        <v>405</v>
      </c>
      <c r="C198" t="s">
        <v>406</v>
      </c>
      <c r="D198" s="6">
        <v>225000</v>
      </c>
    </row>
    <row r="199" spans="1:4" x14ac:dyDescent="0.25">
      <c r="A199">
        <v>2024</v>
      </c>
      <c r="B199" s="4" t="s">
        <v>407</v>
      </c>
      <c r="C199" t="s">
        <v>408</v>
      </c>
      <c r="D199" s="6">
        <v>468662</v>
      </c>
    </row>
    <row r="200" spans="1:4" x14ac:dyDescent="0.25">
      <c r="A200">
        <v>2024</v>
      </c>
      <c r="B200" s="4" t="s">
        <v>409</v>
      </c>
      <c r="C200" t="s">
        <v>410</v>
      </c>
      <c r="D200" s="6">
        <v>641449</v>
      </c>
    </row>
    <row r="201" spans="1:4" x14ac:dyDescent="0.25">
      <c r="A201">
        <v>2024</v>
      </c>
      <c r="B201" s="4" t="s">
        <v>411</v>
      </c>
      <c r="C201" t="s">
        <v>412</v>
      </c>
      <c r="D201" s="6">
        <v>936376</v>
      </c>
    </row>
    <row r="202" spans="1:4" x14ac:dyDescent="0.25">
      <c r="A202">
        <v>2024</v>
      </c>
      <c r="B202" s="4" t="s">
        <v>413</v>
      </c>
      <c r="C202" t="s">
        <v>414</v>
      </c>
      <c r="D202" s="6">
        <v>0</v>
      </c>
    </row>
    <row r="203" spans="1:4" x14ac:dyDescent="0.25">
      <c r="A203">
        <v>2024</v>
      </c>
      <c r="B203" s="4" t="s">
        <v>415</v>
      </c>
      <c r="C203" t="s">
        <v>416</v>
      </c>
      <c r="D203" s="6">
        <v>176894</v>
      </c>
    </row>
    <row r="204" spans="1:4" x14ac:dyDescent="0.25">
      <c r="A204">
        <v>2024</v>
      </c>
      <c r="B204" s="4" t="s">
        <v>417</v>
      </c>
      <c r="C204" t="s">
        <v>418</v>
      </c>
      <c r="D204" s="6">
        <v>1090000</v>
      </c>
    </row>
    <row r="205" spans="1:4" x14ac:dyDescent="0.25">
      <c r="A205">
        <v>2024</v>
      </c>
      <c r="B205" s="4" t="s">
        <v>419</v>
      </c>
      <c r="C205" t="s">
        <v>420</v>
      </c>
      <c r="D205" s="6">
        <v>530513</v>
      </c>
    </row>
    <row r="206" spans="1:4" x14ac:dyDescent="0.25">
      <c r="A206">
        <v>2024</v>
      </c>
      <c r="B206" s="4" t="s">
        <v>421</v>
      </c>
      <c r="C206" t="s">
        <v>422</v>
      </c>
      <c r="D206" s="6">
        <v>0</v>
      </c>
    </row>
    <row r="207" spans="1:4" x14ac:dyDescent="0.25">
      <c r="A207">
        <v>2024</v>
      </c>
      <c r="B207" s="4" t="s">
        <v>423</v>
      </c>
      <c r="C207" t="s">
        <v>424</v>
      </c>
      <c r="D207" s="6">
        <v>0</v>
      </c>
    </row>
    <row r="208" spans="1:4" x14ac:dyDescent="0.25">
      <c r="A208">
        <v>2024</v>
      </c>
      <c r="B208" s="4" t="s">
        <v>425</v>
      </c>
      <c r="C208" t="s">
        <v>426</v>
      </c>
      <c r="D208" s="6">
        <v>0</v>
      </c>
    </row>
    <row r="209" spans="1:4" x14ac:dyDescent="0.25">
      <c r="A209">
        <v>2024</v>
      </c>
      <c r="B209" s="4" t="s">
        <v>427</v>
      </c>
      <c r="C209" t="s">
        <v>428</v>
      </c>
      <c r="D209" s="6">
        <v>0</v>
      </c>
    </row>
    <row r="210" spans="1:4" x14ac:dyDescent="0.25">
      <c r="A210">
        <v>2024</v>
      </c>
      <c r="B210" s="4" t="s">
        <v>429</v>
      </c>
      <c r="C210" t="s">
        <v>430</v>
      </c>
      <c r="D210" s="6">
        <v>2300599</v>
      </c>
    </row>
    <row r="211" spans="1:4" x14ac:dyDescent="0.25">
      <c r="A211">
        <v>2024</v>
      </c>
      <c r="B211" s="4" t="s">
        <v>431</v>
      </c>
      <c r="C211" t="s">
        <v>432</v>
      </c>
      <c r="D211" s="6">
        <v>18727</v>
      </c>
    </row>
    <row r="212" spans="1:4" x14ac:dyDescent="0.25">
      <c r="A212">
        <v>2024</v>
      </c>
      <c r="B212" s="4" t="s">
        <v>433</v>
      </c>
      <c r="C212" t="s">
        <v>434</v>
      </c>
      <c r="D212" s="6">
        <v>0</v>
      </c>
    </row>
    <row r="213" spans="1:4" x14ac:dyDescent="0.25">
      <c r="A213">
        <v>2024</v>
      </c>
      <c r="B213" s="4" t="s">
        <v>435</v>
      </c>
      <c r="C213" t="s">
        <v>436</v>
      </c>
      <c r="D213" s="6">
        <v>0</v>
      </c>
    </row>
    <row r="214" spans="1:4" x14ac:dyDescent="0.25">
      <c r="A214">
        <v>2024</v>
      </c>
      <c r="B214" s="4" t="s">
        <v>437</v>
      </c>
      <c r="C214" t="s">
        <v>438</v>
      </c>
      <c r="D214" s="6">
        <v>991875</v>
      </c>
    </row>
    <row r="215" spans="1:4" x14ac:dyDescent="0.25">
      <c r="A215">
        <v>2024</v>
      </c>
      <c r="B215" s="4" t="s">
        <v>440</v>
      </c>
      <c r="C215" t="s">
        <v>441</v>
      </c>
      <c r="D215" s="6">
        <v>95241</v>
      </c>
    </row>
    <row r="216" spans="1:4" x14ac:dyDescent="0.25">
      <c r="A216">
        <v>2024</v>
      </c>
      <c r="B216" s="4" t="s">
        <v>442</v>
      </c>
      <c r="C216" t="s">
        <v>443</v>
      </c>
      <c r="D216" s="6">
        <v>558167</v>
      </c>
    </row>
    <row r="217" spans="1:4" x14ac:dyDescent="0.25">
      <c r="A217">
        <v>2024</v>
      </c>
      <c r="B217" s="4" t="s">
        <v>444</v>
      </c>
      <c r="C217" t="s">
        <v>445</v>
      </c>
      <c r="D217" s="6">
        <v>0</v>
      </c>
    </row>
    <row r="218" spans="1:4" x14ac:dyDescent="0.25">
      <c r="A218">
        <v>2024</v>
      </c>
      <c r="B218" s="4" t="s">
        <v>446</v>
      </c>
      <c r="C218" t="s">
        <v>447</v>
      </c>
      <c r="D218" s="6">
        <v>651775</v>
      </c>
    </row>
    <row r="219" spans="1:4" x14ac:dyDescent="0.25">
      <c r="A219">
        <v>2024</v>
      </c>
      <c r="B219" s="4" t="s">
        <v>448</v>
      </c>
      <c r="C219" t="s">
        <v>449</v>
      </c>
      <c r="D219" s="6">
        <v>0</v>
      </c>
    </row>
    <row r="220" spans="1:4" x14ac:dyDescent="0.25">
      <c r="A220">
        <v>2024</v>
      </c>
      <c r="B220" s="4" t="s">
        <v>450</v>
      </c>
      <c r="C220" t="s">
        <v>451</v>
      </c>
      <c r="D220">
        <v>0</v>
      </c>
    </row>
    <row r="221" spans="1:4" x14ac:dyDescent="0.25">
      <c r="A221">
        <v>2024</v>
      </c>
      <c r="B221" s="4" t="s">
        <v>452</v>
      </c>
      <c r="C221" t="s">
        <v>453</v>
      </c>
      <c r="D221" s="6">
        <v>0</v>
      </c>
    </row>
    <row r="222" spans="1:4" x14ac:dyDescent="0.25">
      <c r="A222">
        <v>2024</v>
      </c>
      <c r="B222" s="4" t="s">
        <v>454</v>
      </c>
      <c r="C222" t="s">
        <v>455</v>
      </c>
      <c r="D222" s="6">
        <v>508500</v>
      </c>
    </row>
    <row r="223" spans="1:4" x14ac:dyDescent="0.25">
      <c r="A223">
        <v>2024</v>
      </c>
      <c r="B223" s="4" t="s">
        <v>456</v>
      </c>
      <c r="C223" t="s">
        <v>457</v>
      </c>
      <c r="D223" s="6">
        <v>0</v>
      </c>
    </row>
    <row r="224" spans="1:4" x14ac:dyDescent="0.25">
      <c r="A224">
        <v>2024</v>
      </c>
      <c r="B224" s="4" t="s">
        <v>458</v>
      </c>
      <c r="C224" t="s">
        <v>459</v>
      </c>
      <c r="D224" s="6">
        <v>576042</v>
      </c>
    </row>
    <row r="225" spans="1:4" x14ac:dyDescent="0.25">
      <c r="A225">
        <v>2024</v>
      </c>
      <c r="B225" s="4" t="s">
        <v>460</v>
      </c>
      <c r="C225" t="s">
        <v>461</v>
      </c>
      <c r="D225" s="6">
        <v>277160</v>
      </c>
    </row>
    <row r="226" spans="1:4" x14ac:dyDescent="0.25">
      <c r="A226">
        <v>2024</v>
      </c>
      <c r="B226" s="4" t="s">
        <v>466</v>
      </c>
      <c r="C226" t="s">
        <v>468</v>
      </c>
      <c r="D226" s="6">
        <v>0</v>
      </c>
    </row>
    <row r="227" spans="1:4" x14ac:dyDescent="0.25">
      <c r="A227">
        <v>2024</v>
      </c>
      <c r="B227" s="4" t="s">
        <v>462</v>
      </c>
      <c r="C227" t="s">
        <v>463</v>
      </c>
      <c r="D227" s="6">
        <v>22500</v>
      </c>
    </row>
    <row r="228" spans="1:4" x14ac:dyDescent="0.25">
      <c r="A228">
        <v>2024</v>
      </c>
      <c r="B228" s="4" t="s">
        <v>464</v>
      </c>
      <c r="C228" t="s">
        <v>465</v>
      </c>
      <c r="D228" s="6">
        <v>0</v>
      </c>
    </row>
    <row r="229" spans="1:4" x14ac:dyDescent="0.25">
      <c r="A229">
        <v>2024</v>
      </c>
      <c r="B229" s="4" t="s">
        <v>469</v>
      </c>
      <c r="C229" t="s">
        <v>470</v>
      </c>
      <c r="D229" s="6">
        <v>250000</v>
      </c>
    </row>
    <row r="230" spans="1:4" x14ac:dyDescent="0.25">
      <c r="A230">
        <v>2024</v>
      </c>
      <c r="B230" s="4" t="s">
        <v>471</v>
      </c>
      <c r="C230" t="s">
        <v>472</v>
      </c>
      <c r="D230" s="6">
        <v>1399845</v>
      </c>
    </row>
    <row r="231" spans="1:4" x14ac:dyDescent="0.25">
      <c r="A231">
        <v>2024</v>
      </c>
      <c r="B231" s="4" t="s">
        <v>473</v>
      </c>
      <c r="C231" t="s">
        <v>474</v>
      </c>
      <c r="D231" s="6">
        <v>89287</v>
      </c>
    </row>
    <row r="232" spans="1:4" x14ac:dyDescent="0.25">
      <c r="A232">
        <v>2024</v>
      </c>
      <c r="B232" s="4" t="s">
        <v>475</v>
      </c>
      <c r="C232" t="s">
        <v>476</v>
      </c>
      <c r="D232" s="6">
        <v>2027845</v>
      </c>
    </row>
    <row r="233" spans="1:4" x14ac:dyDescent="0.25">
      <c r="A233">
        <v>2024</v>
      </c>
      <c r="B233" s="4" t="s">
        <v>477</v>
      </c>
      <c r="C233" t="s">
        <v>478</v>
      </c>
      <c r="D233" s="6">
        <v>0</v>
      </c>
    </row>
    <row r="234" spans="1:4" x14ac:dyDescent="0.25">
      <c r="A234">
        <v>2024</v>
      </c>
      <c r="B234" s="4" t="s">
        <v>479</v>
      </c>
      <c r="C234" t="s">
        <v>480</v>
      </c>
      <c r="D234" s="6">
        <v>81039</v>
      </c>
    </row>
    <row r="235" spans="1:4" x14ac:dyDescent="0.25">
      <c r="A235">
        <v>2024</v>
      </c>
      <c r="B235" s="4" t="s">
        <v>481</v>
      </c>
      <c r="C235" t="s">
        <v>482</v>
      </c>
      <c r="D235" s="6">
        <v>377263</v>
      </c>
    </row>
    <row r="236" spans="1:4" x14ac:dyDescent="0.25">
      <c r="A236">
        <v>2024</v>
      </c>
      <c r="B236" s="4" t="s">
        <v>484</v>
      </c>
      <c r="C236" t="s">
        <v>485</v>
      </c>
      <c r="D236" s="6">
        <v>0</v>
      </c>
    </row>
    <row r="237" spans="1:4" x14ac:dyDescent="0.25">
      <c r="A237">
        <v>2024</v>
      </c>
      <c r="B237" s="4" t="s">
        <v>486</v>
      </c>
      <c r="C237" t="s">
        <v>487</v>
      </c>
      <c r="D237" s="6">
        <v>0</v>
      </c>
    </row>
    <row r="238" spans="1:4" x14ac:dyDescent="0.25">
      <c r="A238">
        <v>2024</v>
      </c>
      <c r="B238" s="4" t="s">
        <v>488</v>
      </c>
      <c r="C238" t="s">
        <v>489</v>
      </c>
      <c r="D238" s="6">
        <v>0</v>
      </c>
    </row>
    <row r="239" spans="1:4" x14ac:dyDescent="0.25">
      <c r="A239">
        <v>2024</v>
      </c>
      <c r="B239" s="4" t="s">
        <v>490</v>
      </c>
      <c r="C239" t="s">
        <v>491</v>
      </c>
      <c r="D239" s="6">
        <v>0</v>
      </c>
    </row>
    <row r="240" spans="1:4" x14ac:dyDescent="0.25">
      <c r="A240">
        <v>2024</v>
      </c>
      <c r="B240" s="4" t="s">
        <v>492</v>
      </c>
      <c r="C240" t="s">
        <v>494</v>
      </c>
      <c r="D240" s="6">
        <v>966365</v>
      </c>
    </row>
    <row r="241" spans="1:4" x14ac:dyDescent="0.25">
      <c r="A241">
        <v>2024</v>
      </c>
      <c r="B241" s="4" t="s">
        <v>495</v>
      </c>
      <c r="C241" t="s">
        <v>496</v>
      </c>
      <c r="D241" s="6">
        <v>0</v>
      </c>
    </row>
    <row r="242" spans="1:4" x14ac:dyDescent="0.25">
      <c r="A242">
        <v>2024</v>
      </c>
      <c r="B242" s="4" t="s">
        <v>497</v>
      </c>
      <c r="C242" t="s">
        <v>498</v>
      </c>
      <c r="D242" s="6">
        <v>37512</v>
      </c>
    </row>
    <row r="243" spans="1:4" x14ac:dyDescent="0.25">
      <c r="A243">
        <v>2024</v>
      </c>
      <c r="B243" s="4" t="s">
        <v>499</v>
      </c>
      <c r="C243" t="s">
        <v>500</v>
      </c>
      <c r="D243" s="6">
        <v>0</v>
      </c>
    </row>
    <row r="244" spans="1:4" x14ac:dyDescent="0.25">
      <c r="A244">
        <v>2024</v>
      </c>
      <c r="B244" s="4" t="s">
        <v>501</v>
      </c>
      <c r="C244" t="s">
        <v>502</v>
      </c>
      <c r="D244" s="6">
        <v>0</v>
      </c>
    </row>
    <row r="245" spans="1:4" x14ac:dyDescent="0.25">
      <c r="A245">
        <v>2024</v>
      </c>
      <c r="B245" s="4" t="s">
        <v>503</v>
      </c>
      <c r="C245" t="s">
        <v>504</v>
      </c>
      <c r="D245" s="6">
        <v>3600091</v>
      </c>
    </row>
    <row r="246" spans="1:4" x14ac:dyDescent="0.25">
      <c r="A246">
        <v>2024</v>
      </c>
      <c r="B246" s="4" t="s">
        <v>505</v>
      </c>
      <c r="C246" t="s">
        <v>506</v>
      </c>
      <c r="D246" s="6">
        <v>0</v>
      </c>
    </row>
    <row r="247" spans="1:4" x14ac:dyDescent="0.25">
      <c r="A247">
        <v>2024</v>
      </c>
      <c r="B247" s="4" t="s">
        <v>507</v>
      </c>
      <c r="C247" t="s">
        <v>508</v>
      </c>
      <c r="D247" s="6">
        <v>0</v>
      </c>
    </row>
    <row r="248" spans="1:4" x14ac:dyDescent="0.25">
      <c r="A248">
        <v>2024</v>
      </c>
      <c r="B248" s="4" t="s">
        <v>509</v>
      </c>
      <c r="C248" t="s">
        <v>510</v>
      </c>
      <c r="D248" s="6">
        <v>0</v>
      </c>
    </row>
    <row r="249" spans="1:4" x14ac:dyDescent="0.25">
      <c r="A249">
        <v>2024</v>
      </c>
      <c r="B249" s="4" t="s">
        <v>511</v>
      </c>
      <c r="C249" t="s">
        <v>512</v>
      </c>
      <c r="D249">
        <v>0</v>
      </c>
    </row>
    <row r="250" spans="1:4" x14ac:dyDescent="0.25">
      <c r="A250">
        <v>2024</v>
      </c>
      <c r="B250" s="4" t="s">
        <v>513</v>
      </c>
      <c r="C250" t="s">
        <v>514</v>
      </c>
      <c r="D250" s="6">
        <v>0</v>
      </c>
    </row>
    <row r="251" spans="1:4" x14ac:dyDescent="0.25">
      <c r="A251">
        <v>2024</v>
      </c>
      <c r="B251" s="4" t="s">
        <v>515</v>
      </c>
      <c r="C251" t="s">
        <v>516</v>
      </c>
      <c r="D251" s="6">
        <v>655000</v>
      </c>
    </row>
    <row r="252" spans="1:4" x14ac:dyDescent="0.25">
      <c r="A252">
        <v>2024</v>
      </c>
      <c r="B252" s="4" t="s">
        <v>517</v>
      </c>
      <c r="C252" t="s">
        <v>518</v>
      </c>
      <c r="D252" s="6">
        <v>0</v>
      </c>
    </row>
    <row r="253" spans="1:4" x14ac:dyDescent="0.25">
      <c r="A253">
        <v>2024</v>
      </c>
      <c r="B253" s="4" t="s">
        <v>519</v>
      </c>
      <c r="C253" t="s">
        <v>520</v>
      </c>
      <c r="D253" s="6">
        <v>189749</v>
      </c>
    </row>
    <row r="254" spans="1:4" x14ac:dyDescent="0.25">
      <c r="A254">
        <v>2024</v>
      </c>
      <c r="B254" s="4" t="s">
        <v>521</v>
      </c>
      <c r="C254" t="s">
        <v>522</v>
      </c>
      <c r="D254" s="6">
        <v>0</v>
      </c>
    </row>
    <row r="255" spans="1:4" x14ac:dyDescent="0.25">
      <c r="A255">
        <v>2024</v>
      </c>
      <c r="B255" s="4" t="s">
        <v>523</v>
      </c>
      <c r="C255" t="s">
        <v>524</v>
      </c>
      <c r="D255" s="6">
        <v>1139552</v>
      </c>
    </row>
    <row r="256" spans="1:4" x14ac:dyDescent="0.25">
      <c r="A256">
        <v>2024</v>
      </c>
      <c r="B256" s="4" t="s">
        <v>525</v>
      </c>
      <c r="C256" t="s">
        <v>527</v>
      </c>
      <c r="D256" s="6">
        <v>0</v>
      </c>
    </row>
    <row r="257" spans="1:4" x14ac:dyDescent="0.25">
      <c r="A257">
        <v>2024</v>
      </c>
      <c r="B257" s="4" t="s">
        <v>528</v>
      </c>
      <c r="C257" t="s">
        <v>529</v>
      </c>
      <c r="D257" s="6">
        <v>0</v>
      </c>
    </row>
    <row r="258" spans="1:4" x14ac:dyDescent="0.25">
      <c r="A258">
        <v>2024</v>
      </c>
      <c r="B258" s="4" t="s">
        <v>530</v>
      </c>
      <c r="C258" t="s">
        <v>531</v>
      </c>
      <c r="D258" s="6">
        <v>0</v>
      </c>
    </row>
    <row r="259" spans="1:4" x14ac:dyDescent="0.25">
      <c r="A259">
        <v>2024</v>
      </c>
      <c r="B259" s="4" t="s">
        <v>532</v>
      </c>
      <c r="C259" t="s">
        <v>533</v>
      </c>
      <c r="D259" s="6">
        <v>0</v>
      </c>
    </row>
    <row r="260" spans="1:4" x14ac:dyDescent="0.25">
      <c r="A260">
        <v>2024</v>
      </c>
      <c r="B260" s="4" t="s">
        <v>534</v>
      </c>
      <c r="C260" t="s">
        <v>535</v>
      </c>
      <c r="D260" s="6">
        <v>0</v>
      </c>
    </row>
    <row r="261" spans="1:4" x14ac:dyDescent="0.25">
      <c r="A261">
        <v>2024</v>
      </c>
      <c r="B261" s="4" t="s">
        <v>536</v>
      </c>
      <c r="C261" t="s">
        <v>538</v>
      </c>
      <c r="D261" s="6">
        <v>100000</v>
      </c>
    </row>
    <row r="262" spans="1:4" x14ac:dyDescent="0.25">
      <c r="A262">
        <v>2024</v>
      </c>
      <c r="B262" s="4" t="s">
        <v>539</v>
      </c>
      <c r="C262" t="s">
        <v>540</v>
      </c>
      <c r="D262" s="6">
        <v>0</v>
      </c>
    </row>
    <row r="263" spans="1:4" x14ac:dyDescent="0.25">
      <c r="A263">
        <v>2024</v>
      </c>
      <c r="B263" s="4" t="s">
        <v>541</v>
      </c>
      <c r="C263" t="s">
        <v>542</v>
      </c>
      <c r="D263" s="6">
        <v>0</v>
      </c>
    </row>
    <row r="264" spans="1:4" x14ac:dyDescent="0.25">
      <c r="A264">
        <v>2024</v>
      </c>
      <c r="B264" s="4" t="s">
        <v>543</v>
      </c>
      <c r="C264" t="s">
        <v>544</v>
      </c>
      <c r="D264" s="6">
        <v>280485</v>
      </c>
    </row>
    <row r="265" spans="1:4" x14ac:dyDescent="0.25">
      <c r="A265">
        <v>2024</v>
      </c>
      <c r="B265" s="4" t="s">
        <v>545</v>
      </c>
      <c r="C265" t="s">
        <v>546</v>
      </c>
      <c r="D265" s="6">
        <v>2525951</v>
      </c>
    </row>
    <row r="266" spans="1:4" x14ac:dyDescent="0.25">
      <c r="A266">
        <v>2024</v>
      </c>
      <c r="B266" s="4" t="s">
        <v>549</v>
      </c>
      <c r="C266" t="s">
        <v>1021</v>
      </c>
      <c r="D266" s="6">
        <v>0</v>
      </c>
    </row>
    <row r="267" spans="1:4" x14ac:dyDescent="0.25">
      <c r="A267">
        <v>2024</v>
      </c>
      <c r="B267" s="4" t="s">
        <v>547</v>
      </c>
      <c r="C267" t="s">
        <v>548</v>
      </c>
      <c r="D267" s="6">
        <v>188752</v>
      </c>
    </row>
    <row r="268" spans="1:4" x14ac:dyDescent="0.25">
      <c r="A268">
        <v>2024</v>
      </c>
      <c r="B268" s="4" t="s">
        <v>550</v>
      </c>
      <c r="C268" t="s">
        <v>551</v>
      </c>
      <c r="D268" s="6">
        <v>0</v>
      </c>
    </row>
    <row r="269" spans="1:4" x14ac:dyDescent="0.25">
      <c r="A269">
        <v>2024</v>
      </c>
      <c r="B269" s="4" t="s">
        <v>552</v>
      </c>
      <c r="C269" t="s">
        <v>553</v>
      </c>
      <c r="D269" s="6">
        <v>0</v>
      </c>
    </row>
    <row r="270" spans="1:4" x14ac:dyDescent="0.25">
      <c r="A270">
        <v>2024</v>
      </c>
      <c r="B270" s="4" t="s">
        <v>554</v>
      </c>
      <c r="C270" t="s">
        <v>555</v>
      </c>
      <c r="D270" s="6">
        <v>0</v>
      </c>
    </row>
    <row r="271" spans="1:4" x14ac:dyDescent="0.25">
      <c r="A271">
        <v>2024</v>
      </c>
      <c r="B271" s="4" t="s">
        <v>556</v>
      </c>
      <c r="C271" t="s">
        <v>557</v>
      </c>
      <c r="D271" s="6">
        <v>0</v>
      </c>
    </row>
    <row r="272" spans="1:4" x14ac:dyDescent="0.25">
      <c r="A272">
        <v>2024</v>
      </c>
      <c r="B272" s="4" t="s">
        <v>558</v>
      </c>
      <c r="C272" t="s">
        <v>559</v>
      </c>
      <c r="D272" s="6">
        <v>0</v>
      </c>
    </row>
    <row r="273" spans="1:4" x14ac:dyDescent="0.25">
      <c r="A273">
        <v>2024</v>
      </c>
      <c r="B273" s="4" t="s">
        <v>560</v>
      </c>
      <c r="C273" t="s">
        <v>561</v>
      </c>
      <c r="D273" s="6">
        <v>0</v>
      </c>
    </row>
    <row r="274" spans="1:4" x14ac:dyDescent="0.25">
      <c r="A274">
        <v>2024</v>
      </c>
      <c r="B274" s="4" t="s">
        <v>562</v>
      </c>
      <c r="C274" t="s">
        <v>563</v>
      </c>
      <c r="D274" s="6">
        <v>439775</v>
      </c>
    </row>
    <row r="275" spans="1:4" x14ac:dyDescent="0.25">
      <c r="A275">
        <v>2024</v>
      </c>
      <c r="B275" s="4" t="s">
        <v>564</v>
      </c>
      <c r="C275" t="s">
        <v>565</v>
      </c>
      <c r="D275" s="6">
        <v>55567</v>
      </c>
    </row>
    <row r="276" spans="1:4" x14ac:dyDescent="0.25">
      <c r="A276">
        <v>2024</v>
      </c>
      <c r="B276" s="4" t="s">
        <v>566</v>
      </c>
      <c r="C276" t="s">
        <v>567</v>
      </c>
      <c r="D276" s="6">
        <v>400000</v>
      </c>
    </row>
    <row r="277" spans="1:4" x14ac:dyDescent="0.25">
      <c r="A277">
        <v>2024</v>
      </c>
      <c r="B277" s="4" t="s">
        <v>568</v>
      </c>
      <c r="C277" t="s">
        <v>569</v>
      </c>
      <c r="D277" s="6">
        <v>312320</v>
      </c>
    </row>
    <row r="278" spans="1:4" x14ac:dyDescent="0.25">
      <c r="A278">
        <v>2024</v>
      </c>
      <c r="B278" s="4" t="s">
        <v>570</v>
      </c>
      <c r="C278" t="s">
        <v>571</v>
      </c>
      <c r="D278" s="6">
        <v>0</v>
      </c>
    </row>
    <row r="279" spans="1:4" x14ac:dyDescent="0.25">
      <c r="A279">
        <v>2024</v>
      </c>
      <c r="B279" s="4" t="s">
        <v>572</v>
      </c>
      <c r="C279" t="s">
        <v>573</v>
      </c>
      <c r="D279" s="6">
        <v>0</v>
      </c>
    </row>
    <row r="280" spans="1:4" x14ac:dyDescent="0.25">
      <c r="A280">
        <v>2024</v>
      </c>
      <c r="B280" s="4" t="s">
        <v>574</v>
      </c>
      <c r="C280" t="s">
        <v>575</v>
      </c>
      <c r="D280" s="6">
        <v>0</v>
      </c>
    </row>
    <row r="281" spans="1:4" x14ac:dyDescent="0.25">
      <c r="A281">
        <v>2024</v>
      </c>
      <c r="B281" s="4" t="s">
        <v>576</v>
      </c>
      <c r="C281" t="s">
        <v>577</v>
      </c>
      <c r="D281" s="6">
        <v>200000</v>
      </c>
    </row>
    <row r="282" spans="1:4" x14ac:dyDescent="0.25">
      <c r="A282">
        <v>2024</v>
      </c>
      <c r="B282" s="4" t="s">
        <v>578</v>
      </c>
      <c r="C282" t="s">
        <v>579</v>
      </c>
      <c r="D282" s="6">
        <v>0</v>
      </c>
    </row>
    <row r="283" spans="1:4" x14ac:dyDescent="0.25">
      <c r="A283">
        <v>2024</v>
      </c>
      <c r="B283" s="4" t="s">
        <v>580</v>
      </c>
      <c r="C283" t="s">
        <v>581</v>
      </c>
      <c r="D283" s="6">
        <v>70306</v>
      </c>
    </row>
    <row r="284" spans="1:4" x14ac:dyDescent="0.25">
      <c r="A284">
        <v>2024</v>
      </c>
      <c r="B284" s="4" t="s">
        <v>582</v>
      </c>
      <c r="C284" t="s">
        <v>583</v>
      </c>
      <c r="D284" s="6">
        <v>0</v>
      </c>
    </row>
    <row r="285" spans="1:4" x14ac:dyDescent="0.25">
      <c r="A285">
        <v>2024</v>
      </c>
      <c r="B285" s="4" t="s">
        <v>584</v>
      </c>
      <c r="C285" t="s">
        <v>585</v>
      </c>
      <c r="D285" s="6">
        <v>452508</v>
      </c>
    </row>
    <row r="286" spans="1:4" x14ac:dyDescent="0.25">
      <c r="A286">
        <v>2024</v>
      </c>
      <c r="B286" s="4" t="s">
        <v>586</v>
      </c>
      <c r="C286" t="s">
        <v>588</v>
      </c>
      <c r="D286" s="6">
        <v>490000</v>
      </c>
    </row>
    <row r="287" spans="1:4" x14ac:dyDescent="0.25">
      <c r="A287">
        <v>2024</v>
      </c>
      <c r="B287" s="4" t="s">
        <v>589</v>
      </c>
      <c r="C287" t="s">
        <v>590</v>
      </c>
      <c r="D287" s="6">
        <v>0</v>
      </c>
    </row>
    <row r="288" spans="1:4" x14ac:dyDescent="0.25">
      <c r="A288">
        <v>2024</v>
      </c>
      <c r="B288" s="4" t="s">
        <v>591</v>
      </c>
      <c r="C288" t="s">
        <v>592</v>
      </c>
      <c r="D288" s="6">
        <v>3905136</v>
      </c>
    </row>
    <row r="289" spans="1:4" x14ac:dyDescent="0.25">
      <c r="A289">
        <v>2024</v>
      </c>
      <c r="B289" s="4" t="s">
        <v>593</v>
      </c>
      <c r="C289" t="s">
        <v>689</v>
      </c>
      <c r="D289" s="6">
        <v>0</v>
      </c>
    </row>
    <row r="290" spans="1:4" x14ac:dyDescent="0.25">
      <c r="A290">
        <v>2024</v>
      </c>
      <c r="B290" s="4" t="s">
        <v>594</v>
      </c>
      <c r="C290" t="s">
        <v>595</v>
      </c>
      <c r="D290" s="6">
        <v>0</v>
      </c>
    </row>
    <row r="291" spans="1:4" x14ac:dyDescent="0.25">
      <c r="A291">
        <v>2024</v>
      </c>
      <c r="B291" s="4" t="s">
        <v>596</v>
      </c>
      <c r="C291" t="s">
        <v>597</v>
      </c>
      <c r="D291">
        <v>0</v>
      </c>
    </row>
    <row r="292" spans="1:4" x14ac:dyDescent="0.25">
      <c r="A292">
        <v>2024</v>
      </c>
      <c r="B292" s="4" t="s">
        <v>598</v>
      </c>
      <c r="C292" t="s">
        <v>599</v>
      </c>
      <c r="D292" s="6">
        <v>1076936</v>
      </c>
    </row>
    <row r="293" spans="1:4" x14ac:dyDescent="0.25">
      <c r="A293">
        <v>2024</v>
      </c>
      <c r="B293" s="4" t="s">
        <v>600</v>
      </c>
      <c r="C293" t="s">
        <v>601</v>
      </c>
      <c r="D293" s="6">
        <v>100000</v>
      </c>
    </row>
    <row r="294" spans="1:4" x14ac:dyDescent="0.25">
      <c r="A294">
        <v>2024</v>
      </c>
      <c r="B294" s="4" t="s">
        <v>602</v>
      </c>
      <c r="C294" t="s">
        <v>603</v>
      </c>
      <c r="D294" s="6">
        <v>147608</v>
      </c>
    </row>
    <row r="295" spans="1:4" x14ac:dyDescent="0.25">
      <c r="A295">
        <v>2024</v>
      </c>
      <c r="B295" s="4" t="s">
        <v>604</v>
      </c>
      <c r="C295" t="s">
        <v>605</v>
      </c>
      <c r="D295" s="6">
        <v>313757</v>
      </c>
    </row>
    <row r="296" spans="1:4" x14ac:dyDescent="0.25">
      <c r="A296">
        <v>2024</v>
      </c>
      <c r="B296" s="4" t="s">
        <v>606</v>
      </c>
      <c r="C296" t="s">
        <v>607</v>
      </c>
      <c r="D296" s="6">
        <v>764313</v>
      </c>
    </row>
    <row r="297" spans="1:4" x14ac:dyDescent="0.25">
      <c r="A297">
        <v>2024</v>
      </c>
      <c r="B297" s="4" t="s">
        <v>608</v>
      </c>
      <c r="C297" t="s">
        <v>609</v>
      </c>
      <c r="D297">
        <v>0</v>
      </c>
    </row>
    <row r="298" spans="1:4" x14ac:dyDescent="0.25">
      <c r="A298">
        <v>2024</v>
      </c>
      <c r="B298" s="4" t="s">
        <v>610</v>
      </c>
      <c r="C298" t="s">
        <v>611</v>
      </c>
      <c r="D298" s="6">
        <v>17675297</v>
      </c>
    </row>
    <row r="299" spans="1:4" x14ac:dyDescent="0.25">
      <c r="A299">
        <v>2024</v>
      </c>
      <c r="B299" s="4" t="s">
        <v>612</v>
      </c>
      <c r="C299" t="s">
        <v>613</v>
      </c>
      <c r="D299" s="6">
        <v>309348</v>
      </c>
    </row>
    <row r="300" spans="1:4" x14ac:dyDescent="0.25">
      <c r="A300">
        <v>2024</v>
      </c>
      <c r="B300" s="4" t="s">
        <v>614</v>
      </c>
      <c r="C300" t="s">
        <v>615</v>
      </c>
      <c r="D300" s="6">
        <v>0</v>
      </c>
    </row>
    <row r="301" spans="1:4" x14ac:dyDescent="0.25">
      <c r="A301">
        <v>2024</v>
      </c>
      <c r="B301" s="4" t="s">
        <v>616</v>
      </c>
      <c r="C301" t="s">
        <v>617</v>
      </c>
      <c r="D301" s="6">
        <v>0</v>
      </c>
    </row>
    <row r="302" spans="1:4" x14ac:dyDescent="0.25">
      <c r="A302">
        <v>2024</v>
      </c>
      <c r="B302" s="4" t="s">
        <v>618</v>
      </c>
      <c r="C302" t="s">
        <v>619</v>
      </c>
      <c r="D302" s="6">
        <v>0</v>
      </c>
    </row>
    <row r="303" spans="1:4" x14ac:dyDescent="0.25">
      <c r="A303">
        <v>2024</v>
      </c>
      <c r="B303" s="4" t="s">
        <v>620</v>
      </c>
      <c r="C303" t="s">
        <v>621</v>
      </c>
      <c r="D303" s="6">
        <v>367026</v>
      </c>
    </row>
    <row r="304" spans="1:4" x14ac:dyDescent="0.25">
      <c r="A304">
        <v>2024</v>
      </c>
      <c r="B304" s="4" t="s">
        <v>622</v>
      </c>
      <c r="C304" t="s">
        <v>623</v>
      </c>
      <c r="D304">
        <v>0</v>
      </c>
    </row>
    <row r="305" spans="1:4" x14ac:dyDescent="0.25">
      <c r="A305">
        <v>2024</v>
      </c>
      <c r="B305" s="4" t="s">
        <v>624</v>
      </c>
      <c r="C305" t="s">
        <v>625</v>
      </c>
      <c r="D305" s="6">
        <v>0</v>
      </c>
    </row>
    <row r="306" spans="1:4" x14ac:dyDescent="0.25">
      <c r="A306">
        <v>2024</v>
      </c>
      <c r="B306" s="4" t="s">
        <v>626</v>
      </c>
      <c r="C306" t="s">
        <v>627</v>
      </c>
      <c r="D306" s="6">
        <v>0</v>
      </c>
    </row>
    <row r="307" spans="1:4" x14ac:dyDescent="0.25">
      <c r="A307">
        <v>2024</v>
      </c>
      <c r="B307" s="4" t="s">
        <v>628</v>
      </c>
      <c r="C307" t="s">
        <v>629</v>
      </c>
      <c r="D307" s="6">
        <v>503618</v>
      </c>
    </row>
    <row r="308" spans="1:4" x14ac:dyDescent="0.25">
      <c r="A308">
        <v>2024</v>
      </c>
      <c r="B308" s="4" t="s">
        <v>630</v>
      </c>
      <c r="C308" t="s">
        <v>631</v>
      </c>
      <c r="D308" s="6">
        <v>4115320</v>
      </c>
    </row>
    <row r="309" spans="1:4" x14ac:dyDescent="0.25">
      <c r="A309">
        <v>2024</v>
      </c>
      <c r="B309" s="4" t="s">
        <v>632</v>
      </c>
      <c r="C309" t="s">
        <v>633</v>
      </c>
      <c r="D309" s="6">
        <v>360000</v>
      </c>
    </row>
    <row r="310" spans="1:4" x14ac:dyDescent="0.25">
      <c r="A310">
        <v>2024</v>
      </c>
      <c r="B310" s="4" t="s">
        <v>634</v>
      </c>
      <c r="C310" t="s">
        <v>635</v>
      </c>
      <c r="D310" s="6">
        <v>0</v>
      </c>
    </row>
    <row r="311" spans="1:4" x14ac:dyDescent="0.25">
      <c r="A311">
        <v>2024</v>
      </c>
      <c r="B311" s="4" t="s">
        <v>636</v>
      </c>
      <c r="C311" t="s">
        <v>637</v>
      </c>
      <c r="D311" s="6">
        <v>163703</v>
      </c>
    </row>
    <row r="312" spans="1:4" x14ac:dyDescent="0.25">
      <c r="A312">
        <v>2024</v>
      </c>
      <c r="B312" s="4" t="s">
        <v>638</v>
      </c>
      <c r="C312" t="s">
        <v>639</v>
      </c>
      <c r="D312" s="6">
        <v>0</v>
      </c>
    </row>
    <row r="313" spans="1:4" x14ac:dyDescent="0.25">
      <c r="A313">
        <v>2024</v>
      </c>
      <c r="B313" s="4" t="s">
        <v>640</v>
      </c>
      <c r="C313" t="s">
        <v>641</v>
      </c>
      <c r="D313" s="6">
        <v>103920</v>
      </c>
    </row>
    <row r="314" spans="1:4" x14ac:dyDescent="0.25">
      <c r="A314">
        <v>2024</v>
      </c>
      <c r="B314" s="4" t="s">
        <v>642</v>
      </c>
      <c r="C314" t="s">
        <v>643</v>
      </c>
      <c r="D314">
        <v>0</v>
      </c>
    </row>
    <row r="315" spans="1:4" x14ac:dyDescent="0.25">
      <c r="A315">
        <v>2024</v>
      </c>
      <c r="B315" s="4" t="s">
        <v>644</v>
      </c>
      <c r="C315" t="s">
        <v>645</v>
      </c>
      <c r="D315" s="6">
        <v>0</v>
      </c>
    </row>
    <row r="316" spans="1:4" x14ac:dyDescent="0.25">
      <c r="A316">
        <v>2024</v>
      </c>
      <c r="B316" s="4" t="s">
        <v>646</v>
      </c>
      <c r="C316" t="s">
        <v>647</v>
      </c>
      <c r="D316" s="6">
        <v>35939</v>
      </c>
    </row>
    <row r="317" spans="1:4" x14ac:dyDescent="0.25">
      <c r="A317">
        <v>2024</v>
      </c>
      <c r="B317" s="4" t="s">
        <v>648</v>
      </c>
      <c r="C317" t="s">
        <v>649</v>
      </c>
      <c r="D317" s="6">
        <v>963483</v>
      </c>
    </row>
    <row r="318" spans="1:4" x14ac:dyDescent="0.25">
      <c r="A318">
        <v>2024</v>
      </c>
      <c r="B318" s="4" t="s">
        <v>650</v>
      </c>
      <c r="C318" t="s">
        <v>651</v>
      </c>
      <c r="D318" s="6">
        <v>0</v>
      </c>
    </row>
    <row r="319" spans="1:4" x14ac:dyDescent="0.25">
      <c r="A319">
        <v>2024</v>
      </c>
      <c r="B319" s="4" t="s">
        <v>652</v>
      </c>
      <c r="C319" t="s">
        <v>653</v>
      </c>
      <c r="D319" s="6">
        <v>14076</v>
      </c>
    </row>
    <row r="320" spans="1:4" x14ac:dyDescent="0.25">
      <c r="A320">
        <v>2024</v>
      </c>
      <c r="B320" s="4" t="s">
        <v>654</v>
      </c>
      <c r="C320" t="s">
        <v>655</v>
      </c>
      <c r="D320" s="6">
        <v>715000</v>
      </c>
    </row>
    <row r="321" spans="1:4" x14ac:dyDescent="0.25">
      <c r="A321">
        <v>2024</v>
      </c>
      <c r="B321" s="4" t="s">
        <v>656</v>
      </c>
      <c r="C321" t="s">
        <v>657</v>
      </c>
      <c r="D321">
        <v>0</v>
      </c>
    </row>
    <row r="322" spans="1:4" x14ac:dyDescent="0.25">
      <c r="A322">
        <v>2024</v>
      </c>
      <c r="B322" s="4" t="s">
        <v>658</v>
      </c>
      <c r="C322" t="s">
        <v>659</v>
      </c>
      <c r="D322" s="6">
        <v>109336</v>
      </c>
    </row>
    <row r="323" spans="1:4" x14ac:dyDescent="0.25">
      <c r="A323">
        <v>2024</v>
      </c>
      <c r="B323" s="4" t="s">
        <v>660</v>
      </c>
      <c r="C323" t="s">
        <v>661</v>
      </c>
      <c r="D323">
        <v>0</v>
      </c>
    </row>
    <row r="324" spans="1:4" x14ac:dyDescent="0.25">
      <c r="A324">
        <v>2024</v>
      </c>
      <c r="B324" s="4" t="s">
        <v>662</v>
      </c>
      <c r="C324" t="s">
        <v>663</v>
      </c>
      <c r="D324" s="6">
        <v>0</v>
      </c>
    </row>
    <row r="325" spans="1:4" x14ac:dyDescent="0.25">
      <c r="A325">
        <v>2024</v>
      </c>
      <c r="B325" s="4" t="s">
        <v>664</v>
      </c>
      <c r="C325" t="s">
        <v>665</v>
      </c>
      <c r="D325" s="6">
        <v>195000</v>
      </c>
    </row>
    <row r="326" spans="1:4" x14ac:dyDescent="0.25">
      <c r="A326">
        <v>2024</v>
      </c>
      <c r="B326" s="4" t="s">
        <v>666</v>
      </c>
      <c r="C326" t="s">
        <v>667</v>
      </c>
      <c r="D326" s="6">
        <v>172170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CashReserveLevy</vt:lpstr>
      <vt:lpstr>Final</vt:lpstr>
      <vt:lpstr>ActualCRLevy_SAS</vt:lpstr>
      <vt:lpstr>Final!IDX</vt:lpstr>
      <vt:lpstr>CashReserveLevy!Print_Area</vt:lpstr>
      <vt:lpstr>CashReserveLevy!Print_Titles</vt:lpstr>
    </vt:vector>
  </TitlesOfParts>
  <Company>State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John</dc:creator>
  <cp:lastModifiedBy>Parker, John [IDOM]</cp:lastModifiedBy>
  <cp:lastPrinted>2023-07-05T14:58:38Z</cp:lastPrinted>
  <dcterms:created xsi:type="dcterms:W3CDTF">2017-11-27T18:39:34Z</dcterms:created>
  <dcterms:modified xsi:type="dcterms:W3CDTF">2023-07-05T14:59:22Z</dcterms:modified>
</cp:coreProperties>
</file>