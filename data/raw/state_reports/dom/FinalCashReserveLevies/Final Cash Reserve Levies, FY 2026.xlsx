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iowamac-my.sharepoint.com/personal/john_parker_dom_iowa_gov/Documents/DATA/DoM - CashReserveLevyLimit/"/>
    </mc:Choice>
  </mc:AlternateContent>
  <xr:revisionPtr revIDLastSave="11" documentId="8_{2133EFA3-50AC-4C90-9351-D89DADFEADA2}" xr6:coauthVersionLast="47" xr6:coauthVersionMax="47" xr10:uidLastSave="{37DBAF83-4161-4C6B-8353-2A519C00BCAB}"/>
  <bookViews>
    <workbookView xWindow="28680" yWindow="-120" windowWidth="29040" windowHeight="15840" xr2:uid="{00000000-000D-0000-FFFF-FFFF00000000}"/>
  </bookViews>
  <sheets>
    <sheet name="CashReserveLevy" sheetId="1" r:id="rId1"/>
    <sheet name="Final" sheetId="6" state="hidden" r:id="rId2"/>
    <sheet name="ActualCRLevy_SAS" sheetId="4" state="hidden" r:id="rId3"/>
  </sheets>
  <definedNames>
    <definedName name="IDX" localSheetId="1">Final!$A$1</definedName>
    <definedName name="_xlnm.Print_Area" localSheetId="0">CashReserveLevy!$G$1:$M$362</definedName>
    <definedName name="_xlnm.Print_Titles" localSheetId="0">CashReserveLevy!$2:$2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62" i="1" l="1"/>
  <c r="L362" i="1"/>
  <c r="G1" i="1"/>
  <c r="E331" i="6"/>
  <c r="D331" i="6"/>
  <c r="C331" i="6"/>
  <c r="F331" i="6"/>
  <c r="G330" i="6"/>
  <c r="G329" i="6"/>
  <c r="G328" i="6"/>
  <c r="G327" i="6"/>
  <c r="G326" i="6"/>
  <c r="G325" i="6"/>
  <c r="G324" i="6"/>
  <c r="G323" i="6"/>
  <c r="G322" i="6"/>
  <c r="G321" i="6"/>
  <c r="G320" i="6"/>
  <c r="G319" i="6"/>
  <c r="G318" i="6"/>
  <c r="G317" i="6"/>
  <c r="G316" i="6"/>
  <c r="G315" i="6"/>
  <c r="G314" i="6"/>
  <c r="G313" i="6"/>
  <c r="G312" i="6"/>
  <c r="G311" i="6"/>
  <c r="G310" i="6"/>
  <c r="G309" i="6"/>
  <c r="G308" i="6"/>
  <c r="G307" i="6"/>
  <c r="G306" i="6"/>
  <c r="G305" i="6"/>
  <c r="G304" i="6"/>
  <c r="G303" i="6"/>
  <c r="G302" i="6"/>
  <c r="G301" i="6"/>
  <c r="G300" i="6"/>
  <c r="G299" i="6"/>
  <c r="G298" i="6"/>
  <c r="G297" i="6"/>
  <c r="G296" i="6"/>
  <c r="G295" i="6"/>
  <c r="G294" i="6"/>
  <c r="G293" i="6"/>
  <c r="G292" i="6"/>
  <c r="G291" i="6"/>
  <c r="G290" i="6"/>
  <c r="G289" i="6"/>
  <c r="G288" i="6"/>
  <c r="G287" i="6"/>
  <c r="G286" i="6"/>
  <c r="G285" i="6"/>
  <c r="G284" i="6"/>
  <c r="G283" i="6"/>
  <c r="G282" i="6"/>
  <c r="G281" i="6"/>
  <c r="G280" i="6"/>
  <c r="G279" i="6"/>
  <c r="G278" i="6"/>
  <c r="G277" i="6"/>
  <c r="G276" i="6"/>
  <c r="G275" i="6"/>
  <c r="G274" i="6"/>
  <c r="G273" i="6"/>
  <c r="G272" i="6"/>
  <c r="G271" i="6"/>
  <c r="G270" i="6"/>
  <c r="G269" i="6"/>
  <c r="G26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L338" i="1" l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M361" i="1" l="1"/>
  <c r="H327" i="1" l="1"/>
  <c r="M360" i="1" l="1"/>
  <c r="M359" i="1" l="1"/>
  <c r="M357" i="1" l="1"/>
  <c r="M358" i="1"/>
  <c r="J100" i="1" l="1"/>
  <c r="J22" i="1"/>
  <c r="H304" i="1"/>
  <c r="H280" i="1"/>
  <c r="H256" i="1"/>
  <c r="H232" i="1"/>
  <c r="H208" i="1"/>
  <c r="H174" i="1"/>
  <c r="H30" i="1"/>
  <c r="J214" i="1"/>
  <c r="J106" i="1"/>
  <c r="H315" i="1"/>
  <c r="H291" i="1"/>
  <c r="H267" i="1"/>
  <c r="H243" i="1"/>
  <c r="H219" i="1"/>
  <c r="H195" i="1"/>
  <c r="H96" i="1"/>
  <c r="J172" i="1"/>
  <c r="J28" i="1"/>
  <c r="H326" i="1"/>
  <c r="H320" i="1"/>
  <c r="H314" i="1"/>
  <c r="H308" i="1"/>
  <c r="H302" i="1"/>
  <c r="H296" i="1"/>
  <c r="H290" i="1"/>
  <c r="H284" i="1"/>
  <c r="H278" i="1"/>
  <c r="H272" i="1"/>
  <c r="H266" i="1"/>
  <c r="H260" i="1"/>
  <c r="H254" i="1"/>
  <c r="H248" i="1"/>
  <c r="H242" i="1"/>
  <c r="H236" i="1"/>
  <c r="H230" i="1"/>
  <c r="H224" i="1"/>
  <c r="H218" i="1"/>
  <c r="H212" i="1"/>
  <c r="H206" i="1"/>
  <c r="H200" i="1"/>
  <c r="H194" i="1"/>
  <c r="H188" i="1"/>
  <c r="H162" i="1"/>
  <c r="H126" i="1"/>
  <c r="H90" i="1"/>
  <c r="H54" i="1"/>
  <c r="H18" i="1"/>
  <c r="J310" i="1"/>
  <c r="J274" i="1"/>
  <c r="J238" i="1"/>
  <c r="J202" i="1"/>
  <c r="J166" i="1"/>
  <c r="J130" i="1"/>
  <c r="J94" i="1"/>
  <c r="J58" i="1"/>
  <c r="H316" i="1"/>
  <c r="H292" i="1"/>
  <c r="H268" i="1"/>
  <c r="H244" i="1"/>
  <c r="H220" i="1"/>
  <c r="H196" i="1"/>
  <c r="H102" i="1"/>
  <c r="J286" i="1"/>
  <c r="J70" i="1"/>
  <c r="H309" i="1"/>
  <c r="H285" i="1"/>
  <c r="H261" i="1"/>
  <c r="H237" i="1"/>
  <c r="H207" i="1"/>
  <c r="H132" i="1"/>
  <c r="J316" i="1"/>
  <c r="J244" i="1"/>
  <c r="J136" i="1"/>
  <c r="J5" i="1"/>
  <c r="J11" i="1"/>
  <c r="J17" i="1"/>
  <c r="J23" i="1"/>
  <c r="J29" i="1"/>
  <c r="J35" i="1"/>
  <c r="J41" i="1"/>
  <c r="J47" i="1"/>
  <c r="J53" i="1"/>
  <c r="J59" i="1"/>
  <c r="J65" i="1"/>
  <c r="J71" i="1"/>
  <c r="J77" i="1"/>
  <c r="J83" i="1"/>
  <c r="J89" i="1"/>
  <c r="J95" i="1"/>
  <c r="J101" i="1"/>
  <c r="J107" i="1"/>
  <c r="J113" i="1"/>
  <c r="J119" i="1"/>
  <c r="J125" i="1"/>
  <c r="J131" i="1"/>
  <c r="J137" i="1"/>
  <c r="J143" i="1"/>
  <c r="J149" i="1"/>
  <c r="J155" i="1"/>
  <c r="J161" i="1"/>
  <c r="J167" i="1"/>
  <c r="J173" i="1"/>
  <c r="J179" i="1"/>
  <c r="J185" i="1"/>
  <c r="J191" i="1"/>
  <c r="J197" i="1"/>
  <c r="J203" i="1"/>
  <c r="J209" i="1"/>
  <c r="J215" i="1"/>
  <c r="J221" i="1"/>
  <c r="J227" i="1"/>
  <c r="J233" i="1"/>
  <c r="J239" i="1"/>
  <c r="J245" i="1"/>
  <c r="J251" i="1"/>
  <c r="J257" i="1"/>
  <c r="J263" i="1"/>
  <c r="J269" i="1"/>
  <c r="J275" i="1"/>
  <c r="J281" i="1"/>
  <c r="J287" i="1"/>
  <c r="J293" i="1"/>
  <c r="J299" i="1"/>
  <c r="J305" i="1"/>
  <c r="J311" i="1"/>
  <c r="J317" i="1"/>
  <c r="J323" i="1"/>
  <c r="H7" i="1"/>
  <c r="H13" i="1"/>
  <c r="H19" i="1"/>
  <c r="H25" i="1"/>
  <c r="H31" i="1"/>
  <c r="H37" i="1"/>
  <c r="H43" i="1"/>
  <c r="H49" i="1"/>
  <c r="H55" i="1"/>
  <c r="H61" i="1"/>
  <c r="H67" i="1"/>
  <c r="H73" i="1"/>
  <c r="H79" i="1"/>
  <c r="H85" i="1"/>
  <c r="H91" i="1"/>
  <c r="H97" i="1"/>
  <c r="H103" i="1"/>
  <c r="H109" i="1"/>
  <c r="H115" i="1"/>
  <c r="H121" i="1"/>
  <c r="H127" i="1"/>
  <c r="H133" i="1"/>
  <c r="H139" i="1"/>
  <c r="H145" i="1"/>
  <c r="H151" i="1"/>
  <c r="H157" i="1"/>
  <c r="H163" i="1"/>
  <c r="H169" i="1"/>
  <c r="H175" i="1"/>
  <c r="H181" i="1"/>
  <c r="J6" i="1"/>
  <c r="J12" i="1"/>
  <c r="J18" i="1"/>
  <c r="J24" i="1"/>
  <c r="J30" i="1"/>
  <c r="J36" i="1"/>
  <c r="J42" i="1"/>
  <c r="J48" i="1"/>
  <c r="J54" i="1"/>
  <c r="J60" i="1"/>
  <c r="J66" i="1"/>
  <c r="J72" i="1"/>
  <c r="J78" i="1"/>
  <c r="J84" i="1"/>
  <c r="J90" i="1"/>
  <c r="J96" i="1"/>
  <c r="J102" i="1"/>
  <c r="J108" i="1"/>
  <c r="J114" i="1"/>
  <c r="J120" i="1"/>
  <c r="J126" i="1"/>
  <c r="J132" i="1"/>
  <c r="J138" i="1"/>
  <c r="J144" i="1"/>
  <c r="J150" i="1"/>
  <c r="J156" i="1"/>
  <c r="J162" i="1"/>
  <c r="J168" i="1"/>
  <c r="J174" i="1"/>
  <c r="J180" i="1"/>
  <c r="J186" i="1"/>
  <c r="J192" i="1"/>
  <c r="J198" i="1"/>
  <c r="J204" i="1"/>
  <c r="J210" i="1"/>
  <c r="J216" i="1"/>
  <c r="J222" i="1"/>
  <c r="J228" i="1"/>
  <c r="J234" i="1"/>
  <c r="J240" i="1"/>
  <c r="J246" i="1"/>
  <c r="J252" i="1"/>
  <c r="J258" i="1"/>
  <c r="J264" i="1"/>
  <c r="J270" i="1"/>
  <c r="J276" i="1"/>
  <c r="J282" i="1"/>
  <c r="J288" i="1"/>
  <c r="J294" i="1"/>
  <c r="J300" i="1"/>
  <c r="J306" i="1"/>
  <c r="J312" i="1"/>
  <c r="J318" i="1"/>
  <c r="J324" i="1"/>
  <c r="J3" i="1"/>
  <c r="H8" i="1"/>
  <c r="H14" i="1"/>
  <c r="H20" i="1"/>
  <c r="H26" i="1"/>
  <c r="H32" i="1"/>
  <c r="H38" i="1"/>
  <c r="H44" i="1"/>
  <c r="H50" i="1"/>
  <c r="H56" i="1"/>
  <c r="H62" i="1"/>
  <c r="H68" i="1"/>
  <c r="H74" i="1"/>
  <c r="H80" i="1"/>
  <c r="H86" i="1"/>
  <c r="H92" i="1"/>
  <c r="H98" i="1"/>
  <c r="H104" i="1"/>
  <c r="H110" i="1"/>
  <c r="H116" i="1"/>
  <c r="H122" i="1"/>
  <c r="H128" i="1"/>
  <c r="H134" i="1"/>
  <c r="H140" i="1"/>
  <c r="H146" i="1"/>
  <c r="H152" i="1"/>
  <c r="H158" i="1"/>
  <c r="H164" i="1"/>
  <c r="H170" i="1"/>
  <c r="H176" i="1"/>
  <c r="H182" i="1"/>
  <c r="J7" i="1"/>
  <c r="J13" i="1"/>
  <c r="J19" i="1"/>
  <c r="J25" i="1"/>
  <c r="J31" i="1"/>
  <c r="J37" i="1"/>
  <c r="J43" i="1"/>
  <c r="J49" i="1"/>
  <c r="J55" i="1"/>
  <c r="J61" i="1"/>
  <c r="J67" i="1"/>
  <c r="J73" i="1"/>
  <c r="J79" i="1"/>
  <c r="J85" i="1"/>
  <c r="J91" i="1"/>
  <c r="J97" i="1"/>
  <c r="J103" i="1"/>
  <c r="J109" i="1"/>
  <c r="J115" i="1"/>
  <c r="J121" i="1"/>
  <c r="J127" i="1"/>
  <c r="J133" i="1"/>
  <c r="J139" i="1"/>
  <c r="J145" i="1"/>
  <c r="J151" i="1"/>
  <c r="J157" i="1"/>
  <c r="J163" i="1"/>
  <c r="J169" i="1"/>
  <c r="J175" i="1"/>
  <c r="J181" i="1"/>
  <c r="J187" i="1"/>
  <c r="J193" i="1"/>
  <c r="J199" i="1"/>
  <c r="J205" i="1"/>
  <c r="J211" i="1"/>
  <c r="J217" i="1"/>
  <c r="J223" i="1"/>
  <c r="J229" i="1"/>
  <c r="J235" i="1"/>
  <c r="J241" i="1"/>
  <c r="J247" i="1"/>
  <c r="J253" i="1"/>
  <c r="J259" i="1"/>
  <c r="J265" i="1"/>
  <c r="J271" i="1"/>
  <c r="J277" i="1"/>
  <c r="J283" i="1"/>
  <c r="J289" i="1"/>
  <c r="J295" i="1"/>
  <c r="J301" i="1"/>
  <c r="J307" i="1"/>
  <c r="J313" i="1"/>
  <c r="J319" i="1"/>
  <c r="J325" i="1"/>
  <c r="H9" i="1"/>
  <c r="H15" i="1"/>
  <c r="H21" i="1"/>
  <c r="H27" i="1"/>
  <c r="H33" i="1"/>
  <c r="H39" i="1"/>
  <c r="H45" i="1"/>
  <c r="H51" i="1"/>
  <c r="H57" i="1"/>
  <c r="H63" i="1"/>
  <c r="H69" i="1"/>
  <c r="H75" i="1"/>
  <c r="H81" i="1"/>
  <c r="H87" i="1"/>
  <c r="H93" i="1"/>
  <c r="H99" i="1"/>
  <c r="H105" i="1"/>
  <c r="H111" i="1"/>
  <c r="H117" i="1"/>
  <c r="H123" i="1"/>
  <c r="H129" i="1"/>
  <c r="H135" i="1"/>
  <c r="H141" i="1"/>
  <c r="H147" i="1"/>
  <c r="H153" i="1"/>
  <c r="H159" i="1"/>
  <c r="H165" i="1"/>
  <c r="H171" i="1"/>
  <c r="H177" i="1"/>
  <c r="H183" i="1"/>
  <c r="J8" i="1"/>
  <c r="J14" i="1"/>
  <c r="J20" i="1"/>
  <c r="J26" i="1"/>
  <c r="J32" i="1"/>
  <c r="J38" i="1"/>
  <c r="J44" i="1"/>
  <c r="J50" i="1"/>
  <c r="J56" i="1"/>
  <c r="J62" i="1"/>
  <c r="J68" i="1"/>
  <c r="J74" i="1"/>
  <c r="J80" i="1"/>
  <c r="J86" i="1"/>
  <c r="J92" i="1"/>
  <c r="J98" i="1"/>
  <c r="J104" i="1"/>
  <c r="J110" i="1"/>
  <c r="J116" i="1"/>
  <c r="J122" i="1"/>
  <c r="J128" i="1"/>
  <c r="J134" i="1"/>
  <c r="J140" i="1"/>
  <c r="J146" i="1"/>
  <c r="J152" i="1"/>
  <c r="J158" i="1"/>
  <c r="J164" i="1"/>
  <c r="J170" i="1"/>
  <c r="J176" i="1"/>
  <c r="J182" i="1"/>
  <c r="J188" i="1"/>
  <c r="J194" i="1"/>
  <c r="J200" i="1"/>
  <c r="J206" i="1"/>
  <c r="J212" i="1"/>
  <c r="J218" i="1"/>
  <c r="J224" i="1"/>
  <c r="J230" i="1"/>
  <c r="J236" i="1"/>
  <c r="J242" i="1"/>
  <c r="J248" i="1"/>
  <c r="J254" i="1"/>
  <c r="J260" i="1"/>
  <c r="J266" i="1"/>
  <c r="J272" i="1"/>
  <c r="J278" i="1"/>
  <c r="J284" i="1"/>
  <c r="J290" i="1"/>
  <c r="J296" i="1"/>
  <c r="J302" i="1"/>
  <c r="J308" i="1"/>
  <c r="J314" i="1"/>
  <c r="J320" i="1"/>
  <c r="J326" i="1"/>
  <c r="H4" i="1"/>
  <c r="H10" i="1"/>
  <c r="H16" i="1"/>
  <c r="H22" i="1"/>
  <c r="H28" i="1"/>
  <c r="H34" i="1"/>
  <c r="H40" i="1"/>
  <c r="H46" i="1"/>
  <c r="H52" i="1"/>
  <c r="H58" i="1"/>
  <c r="H64" i="1"/>
  <c r="H70" i="1"/>
  <c r="H76" i="1"/>
  <c r="H82" i="1"/>
  <c r="H88" i="1"/>
  <c r="H94" i="1"/>
  <c r="H100" i="1"/>
  <c r="H106" i="1"/>
  <c r="H112" i="1"/>
  <c r="H118" i="1"/>
  <c r="H124" i="1"/>
  <c r="H130" i="1"/>
  <c r="H136" i="1"/>
  <c r="H142" i="1"/>
  <c r="H148" i="1"/>
  <c r="H154" i="1"/>
  <c r="H160" i="1"/>
  <c r="H166" i="1"/>
  <c r="H172" i="1"/>
  <c r="H178" i="1"/>
  <c r="H184" i="1"/>
  <c r="J9" i="1"/>
  <c r="J15" i="1"/>
  <c r="J21" i="1"/>
  <c r="J27" i="1"/>
  <c r="J33" i="1"/>
  <c r="J39" i="1"/>
  <c r="J45" i="1"/>
  <c r="J51" i="1"/>
  <c r="J57" i="1"/>
  <c r="J63" i="1"/>
  <c r="J69" i="1"/>
  <c r="J75" i="1"/>
  <c r="J81" i="1"/>
  <c r="J87" i="1"/>
  <c r="J93" i="1"/>
  <c r="J99" i="1"/>
  <c r="J105" i="1"/>
  <c r="J111" i="1"/>
  <c r="J117" i="1"/>
  <c r="J123" i="1"/>
  <c r="J129" i="1"/>
  <c r="J135" i="1"/>
  <c r="J141" i="1"/>
  <c r="J147" i="1"/>
  <c r="J153" i="1"/>
  <c r="J159" i="1"/>
  <c r="J165" i="1"/>
  <c r="J171" i="1"/>
  <c r="J177" i="1"/>
  <c r="J183" i="1"/>
  <c r="J189" i="1"/>
  <c r="J195" i="1"/>
  <c r="J201" i="1"/>
  <c r="J207" i="1"/>
  <c r="J213" i="1"/>
  <c r="J219" i="1"/>
  <c r="J225" i="1"/>
  <c r="J231" i="1"/>
  <c r="J237" i="1"/>
  <c r="J243" i="1"/>
  <c r="J249" i="1"/>
  <c r="J255" i="1"/>
  <c r="J261" i="1"/>
  <c r="J267" i="1"/>
  <c r="J273" i="1"/>
  <c r="J279" i="1"/>
  <c r="J285" i="1"/>
  <c r="J291" i="1"/>
  <c r="J297" i="1"/>
  <c r="J303" i="1"/>
  <c r="J309" i="1"/>
  <c r="J315" i="1"/>
  <c r="J321" i="1"/>
  <c r="J327" i="1"/>
  <c r="H5" i="1"/>
  <c r="H11" i="1"/>
  <c r="H17" i="1"/>
  <c r="H23" i="1"/>
  <c r="H29" i="1"/>
  <c r="H35" i="1"/>
  <c r="H41" i="1"/>
  <c r="H47" i="1"/>
  <c r="H53" i="1"/>
  <c r="H59" i="1"/>
  <c r="H65" i="1"/>
  <c r="H71" i="1"/>
  <c r="H77" i="1"/>
  <c r="H83" i="1"/>
  <c r="H89" i="1"/>
  <c r="H95" i="1"/>
  <c r="H101" i="1"/>
  <c r="H107" i="1"/>
  <c r="H113" i="1"/>
  <c r="H119" i="1"/>
  <c r="H125" i="1"/>
  <c r="H131" i="1"/>
  <c r="H137" i="1"/>
  <c r="H143" i="1"/>
  <c r="H149" i="1"/>
  <c r="H155" i="1"/>
  <c r="H161" i="1"/>
  <c r="H167" i="1"/>
  <c r="H173" i="1"/>
  <c r="H179" i="1"/>
  <c r="H185" i="1"/>
  <c r="H325" i="1"/>
  <c r="H319" i="1"/>
  <c r="H313" i="1"/>
  <c r="H307" i="1"/>
  <c r="H301" i="1"/>
  <c r="H295" i="1"/>
  <c r="H289" i="1"/>
  <c r="H283" i="1"/>
  <c r="H277" i="1"/>
  <c r="H271" i="1"/>
  <c r="H265" i="1"/>
  <c r="H259" i="1"/>
  <c r="H253" i="1"/>
  <c r="H247" i="1"/>
  <c r="H241" i="1"/>
  <c r="H235" i="1"/>
  <c r="H229" i="1"/>
  <c r="H223" i="1"/>
  <c r="H217" i="1"/>
  <c r="H211" i="1"/>
  <c r="H205" i="1"/>
  <c r="H199" i="1"/>
  <c r="H193" i="1"/>
  <c r="H187" i="1"/>
  <c r="H156" i="1"/>
  <c r="H120" i="1"/>
  <c r="H84" i="1"/>
  <c r="H48" i="1"/>
  <c r="H12" i="1"/>
  <c r="J304" i="1"/>
  <c r="J268" i="1"/>
  <c r="J232" i="1"/>
  <c r="J196" i="1"/>
  <c r="J160" i="1"/>
  <c r="J124" i="1"/>
  <c r="J88" i="1"/>
  <c r="J52" i="1"/>
  <c r="J16" i="1"/>
  <c r="H310" i="1"/>
  <c r="H286" i="1"/>
  <c r="H262" i="1"/>
  <c r="H238" i="1"/>
  <c r="H214" i="1"/>
  <c r="H190" i="1"/>
  <c r="H66" i="1"/>
  <c r="J250" i="1"/>
  <c r="J34" i="1"/>
  <c r="H321" i="1"/>
  <c r="H297" i="1"/>
  <c r="H273" i="1"/>
  <c r="H249" i="1"/>
  <c r="H231" i="1"/>
  <c r="H213" i="1"/>
  <c r="H189" i="1"/>
  <c r="H60" i="1"/>
  <c r="J280" i="1"/>
  <c r="J64" i="1"/>
  <c r="H3" i="1"/>
  <c r="H324" i="1"/>
  <c r="H318" i="1"/>
  <c r="H312" i="1"/>
  <c r="H306" i="1"/>
  <c r="H300" i="1"/>
  <c r="H294" i="1"/>
  <c r="H288" i="1"/>
  <c r="H282" i="1"/>
  <c r="H276" i="1"/>
  <c r="H270" i="1"/>
  <c r="H264" i="1"/>
  <c r="H258" i="1"/>
  <c r="H252" i="1"/>
  <c r="H246" i="1"/>
  <c r="H240" i="1"/>
  <c r="H234" i="1"/>
  <c r="H228" i="1"/>
  <c r="H222" i="1"/>
  <c r="H216" i="1"/>
  <c r="H210" i="1"/>
  <c r="H204" i="1"/>
  <c r="H198" i="1"/>
  <c r="H192" i="1"/>
  <c r="H186" i="1"/>
  <c r="H150" i="1"/>
  <c r="H114" i="1"/>
  <c r="H78" i="1"/>
  <c r="H42" i="1"/>
  <c r="H6" i="1"/>
  <c r="J298" i="1"/>
  <c r="J262" i="1"/>
  <c r="J226" i="1"/>
  <c r="J190" i="1"/>
  <c r="J154" i="1"/>
  <c r="J118" i="1"/>
  <c r="J82" i="1"/>
  <c r="J46" i="1"/>
  <c r="J10" i="1"/>
  <c r="H322" i="1"/>
  <c r="H298" i="1"/>
  <c r="H274" i="1"/>
  <c r="H250" i="1"/>
  <c r="H226" i="1"/>
  <c r="H202" i="1"/>
  <c r="H138" i="1"/>
  <c r="J322" i="1"/>
  <c r="J178" i="1"/>
  <c r="J142" i="1"/>
  <c r="H303" i="1"/>
  <c r="H279" i="1"/>
  <c r="H255" i="1"/>
  <c r="H225" i="1"/>
  <c r="H201" i="1"/>
  <c r="H168" i="1"/>
  <c r="H24" i="1"/>
  <c r="J208" i="1"/>
  <c r="H323" i="1"/>
  <c r="H317" i="1"/>
  <c r="H311" i="1"/>
  <c r="H305" i="1"/>
  <c r="H299" i="1"/>
  <c r="H293" i="1"/>
  <c r="H287" i="1"/>
  <c r="H281" i="1"/>
  <c r="H275" i="1"/>
  <c r="H269" i="1"/>
  <c r="H263" i="1"/>
  <c r="H257" i="1"/>
  <c r="H251" i="1"/>
  <c r="H245" i="1"/>
  <c r="H239" i="1"/>
  <c r="H233" i="1"/>
  <c r="H227" i="1"/>
  <c r="H221" i="1"/>
  <c r="H215" i="1"/>
  <c r="H209" i="1"/>
  <c r="H203" i="1"/>
  <c r="H197" i="1"/>
  <c r="H191" i="1"/>
  <c r="H180" i="1"/>
  <c r="H144" i="1"/>
  <c r="H108" i="1"/>
  <c r="H72" i="1"/>
  <c r="H36" i="1"/>
  <c r="J292" i="1"/>
  <c r="J256" i="1"/>
  <c r="J220" i="1"/>
  <c r="J184" i="1"/>
  <c r="J148" i="1"/>
  <c r="J112" i="1"/>
  <c r="J76" i="1"/>
  <c r="J40" i="1"/>
  <c r="J4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39" i="1"/>
  <c r="I293" i="1" l="1"/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" i="1"/>
  <c r="L333" i="1" l="1"/>
  <c r="L328" i="1"/>
  <c r="I14" i="1" l="1"/>
  <c r="K14" i="1" s="1"/>
  <c r="I15" i="1"/>
  <c r="K15" i="1" s="1"/>
  <c r="I16" i="1"/>
  <c r="K16" i="1" s="1"/>
  <c r="I17" i="1"/>
  <c r="K17" i="1" s="1"/>
  <c r="I18" i="1"/>
  <c r="K18" i="1" s="1"/>
  <c r="I19" i="1"/>
  <c r="K19" i="1" s="1"/>
  <c r="I20" i="1"/>
  <c r="K20" i="1" s="1"/>
  <c r="I21" i="1"/>
  <c r="K21" i="1" s="1"/>
  <c r="I22" i="1"/>
  <c r="K22" i="1" s="1"/>
  <c r="I23" i="1"/>
  <c r="K23" i="1" s="1"/>
  <c r="I24" i="1"/>
  <c r="K24" i="1" s="1"/>
  <c r="I25" i="1"/>
  <c r="K25" i="1" s="1"/>
  <c r="I26" i="1"/>
  <c r="K26" i="1" s="1"/>
  <c r="I27" i="1"/>
  <c r="K27" i="1" s="1"/>
  <c r="I28" i="1"/>
  <c r="K28" i="1" s="1"/>
  <c r="I29" i="1"/>
  <c r="K29" i="1" s="1"/>
  <c r="I30" i="1"/>
  <c r="K30" i="1" s="1"/>
  <c r="I31" i="1"/>
  <c r="K31" i="1" s="1"/>
  <c r="I32" i="1"/>
  <c r="K32" i="1" s="1"/>
  <c r="I33" i="1"/>
  <c r="K33" i="1" s="1"/>
  <c r="I34" i="1"/>
  <c r="K34" i="1" s="1"/>
  <c r="I35" i="1"/>
  <c r="K35" i="1" s="1"/>
  <c r="I36" i="1"/>
  <c r="K36" i="1" s="1"/>
  <c r="I37" i="1"/>
  <c r="K37" i="1" s="1"/>
  <c r="I38" i="1"/>
  <c r="K38" i="1" s="1"/>
  <c r="I39" i="1"/>
  <c r="K39" i="1" s="1"/>
  <c r="I40" i="1"/>
  <c r="K40" i="1" s="1"/>
  <c r="I41" i="1"/>
  <c r="K41" i="1" s="1"/>
  <c r="I42" i="1"/>
  <c r="K42" i="1" s="1"/>
  <c r="I43" i="1"/>
  <c r="K43" i="1" s="1"/>
  <c r="I44" i="1"/>
  <c r="K44" i="1" s="1"/>
  <c r="I45" i="1"/>
  <c r="K45" i="1" s="1"/>
  <c r="I46" i="1"/>
  <c r="K46" i="1" s="1"/>
  <c r="I47" i="1"/>
  <c r="K47" i="1" s="1"/>
  <c r="I48" i="1"/>
  <c r="K48" i="1" s="1"/>
  <c r="I49" i="1"/>
  <c r="K49" i="1" s="1"/>
  <c r="I50" i="1"/>
  <c r="K50" i="1" s="1"/>
  <c r="I51" i="1"/>
  <c r="K51" i="1" s="1"/>
  <c r="I52" i="1"/>
  <c r="K52" i="1" s="1"/>
  <c r="I53" i="1"/>
  <c r="K53" i="1" s="1"/>
  <c r="I54" i="1"/>
  <c r="K54" i="1" s="1"/>
  <c r="I55" i="1"/>
  <c r="K55" i="1" s="1"/>
  <c r="I56" i="1"/>
  <c r="K56" i="1" s="1"/>
  <c r="I57" i="1"/>
  <c r="K57" i="1" s="1"/>
  <c r="I58" i="1"/>
  <c r="K58" i="1" s="1"/>
  <c r="I59" i="1"/>
  <c r="K59" i="1" s="1"/>
  <c r="I60" i="1"/>
  <c r="K60" i="1" s="1"/>
  <c r="I61" i="1"/>
  <c r="K61" i="1" s="1"/>
  <c r="I62" i="1"/>
  <c r="K62" i="1" s="1"/>
  <c r="I63" i="1"/>
  <c r="K63" i="1" s="1"/>
  <c r="I64" i="1"/>
  <c r="K64" i="1" s="1"/>
  <c r="I65" i="1"/>
  <c r="K65" i="1" s="1"/>
  <c r="I66" i="1"/>
  <c r="K66" i="1" s="1"/>
  <c r="I67" i="1"/>
  <c r="K67" i="1" s="1"/>
  <c r="I68" i="1"/>
  <c r="K68" i="1" s="1"/>
  <c r="I69" i="1"/>
  <c r="K69" i="1" s="1"/>
  <c r="I70" i="1"/>
  <c r="K70" i="1" s="1"/>
  <c r="I71" i="1"/>
  <c r="K71" i="1" s="1"/>
  <c r="I72" i="1"/>
  <c r="K72" i="1" s="1"/>
  <c r="I73" i="1"/>
  <c r="K73" i="1" s="1"/>
  <c r="I74" i="1"/>
  <c r="K74" i="1" s="1"/>
  <c r="I75" i="1"/>
  <c r="K75" i="1" s="1"/>
  <c r="I76" i="1"/>
  <c r="K76" i="1" s="1"/>
  <c r="I77" i="1"/>
  <c r="K77" i="1" s="1"/>
  <c r="I78" i="1"/>
  <c r="K78" i="1" s="1"/>
  <c r="I79" i="1"/>
  <c r="K79" i="1" s="1"/>
  <c r="I80" i="1"/>
  <c r="K80" i="1" s="1"/>
  <c r="I81" i="1"/>
  <c r="K81" i="1" s="1"/>
  <c r="I82" i="1"/>
  <c r="K82" i="1" s="1"/>
  <c r="I83" i="1"/>
  <c r="K83" i="1" s="1"/>
  <c r="I84" i="1"/>
  <c r="K84" i="1" s="1"/>
  <c r="I85" i="1"/>
  <c r="K85" i="1" s="1"/>
  <c r="I86" i="1"/>
  <c r="K86" i="1" s="1"/>
  <c r="I87" i="1"/>
  <c r="K87" i="1" s="1"/>
  <c r="I88" i="1"/>
  <c r="K88" i="1" s="1"/>
  <c r="I89" i="1"/>
  <c r="K89" i="1" s="1"/>
  <c r="I90" i="1"/>
  <c r="K90" i="1" s="1"/>
  <c r="I91" i="1"/>
  <c r="K91" i="1" s="1"/>
  <c r="I92" i="1"/>
  <c r="K92" i="1" s="1"/>
  <c r="I93" i="1"/>
  <c r="K93" i="1" s="1"/>
  <c r="I94" i="1"/>
  <c r="K94" i="1" s="1"/>
  <c r="I95" i="1"/>
  <c r="K95" i="1" s="1"/>
  <c r="I96" i="1"/>
  <c r="K96" i="1" s="1"/>
  <c r="I97" i="1"/>
  <c r="K97" i="1" s="1"/>
  <c r="I98" i="1"/>
  <c r="K98" i="1" s="1"/>
  <c r="I99" i="1"/>
  <c r="K99" i="1" s="1"/>
  <c r="I100" i="1"/>
  <c r="K100" i="1" s="1"/>
  <c r="I101" i="1"/>
  <c r="K101" i="1" s="1"/>
  <c r="I102" i="1"/>
  <c r="K102" i="1" s="1"/>
  <c r="I103" i="1"/>
  <c r="K103" i="1" s="1"/>
  <c r="I104" i="1"/>
  <c r="K104" i="1" s="1"/>
  <c r="I105" i="1"/>
  <c r="K105" i="1" s="1"/>
  <c r="I106" i="1"/>
  <c r="K106" i="1" s="1"/>
  <c r="I107" i="1"/>
  <c r="K107" i="1" s="1"/>
  <c r="I108" i="1"/>
  <c r="K108" i="1" s="1"/>
  <c r="I109" i="1"/>
  <c r="K109" i="1" s="1"/>
  <c r="I110" i="1"/>
  <c r="K110" i="1" s="1"/>
  <c r="I111" i="1"/>
  <c r="K111" i="1" s="1"/>
  <c r="I112" i="1"/>
  <c r="K112" i="1" s="1"/>
  <c r="I113" i="1"/>
  <c r="K113" i="1" s="1"/>
  <c r="I114" i="1"/>
  <c r="K114" i="1" s="1"/>
  <c r="I115" i="1"/>
  <c r="K115" i="1" s="1"/>
  <c r="I116" i="1"/>
  <c r="K116" i="1" s="1"/>
  <c r="I117" i="1"/>
  <c r="K117" i="1" s="1"/>
  <c r="I118" i="1"/>
  <c r="K118" i="1" s="1"/>
  <c r="I119" i="1"/>
  <c r="K119" i="1" s="1"/>
  <c r="I120" i="1"/>
  <c r="K120" i="1" s="1"/>
  <c r="I121" i="1"/>
  <c r="K121" i="1" s="1"/>
  <c r="I122" i="1"/>
  <c r="K122" i="1" s="1"/>
  <c r="I123" i="1"/>
  <c r="K123" i="1" s="1"/>
  <c r="I124" i="1"/>
  <c r="K124" i="1" s="1"/>
  <c r="I125" i="1"/>
  <c r="K125" i="1" s="1"/>
  <c r="I126" i="1"/>
  <c r="K126" i="1" s="1"/>
  <c r="I127" i="1"/>
  <c r="K127" i="1" s="1"/>
  <c r="I128" i="1"/>
  <c r="K128" i="1" s="1"/>
  <c r="I129" i="1"/>
  <c r="K129" i="1" s="1"/>
  <c r="I130" i="1"/>
  <c r="K130" i="1" s="1"/>
  <c r="I131" i="1"/>
  <c r="K131" i="1" s="1"/>
  <c r="I132" i="1"/>
  <c r="K132" i="1" s="1"/>
  <c r="I133" i="1"/>
  <c r="K133" i="1" s="1"/>
  <c r="I134" i="1"/>
  <c r="K134" i="1" s="1"/>
  <c r="I135" i="1"/>
  <c r="K135" i="1" s="1"/>
  <c r="I136" i="1"/>
  <c r="K136" i="1" s="1"/>
  <c r="I137" i="1"/>
  <c r="K137" i="1" s="1"/>
  <c r="I138" i="1"/>
  <c r="K138" i="1" s="1"/>
  <c r="I139" i="1"/>
  <c r="K139" i="1" s="1"/>
  <c r="I140" i="1"/>
  <c r="K140" i="1" s="1"/>
  <c r="I141" i="1"/>
  <c r="K141" i="1" s="1"/>
  <c r="I142" i="1"/>
  <c r="K142" i="1" s="1"/>
  <c r="I143" i="1"/>
  <c r="K143" i="1" s="1"/>
  <c r="I144" i="1"/>
  <c r="K144" i="1" s="1"/>
  <c r="I145" i="1"/>
  <c r="K145" i="1" s="1"/>
  <c r="I146" i="1"/>
  <c r="K146" i="1" s="1"/>
  <c r="I147" i="1"/>
  <c r="K147" i="1" s="1"/>
  <c r="I148" i="1"/>
  <c r="K148" i="1" s="1"/>
  <c r="I149" i="1"/>
  <c r="K149" i="1" s="1"/>
  <c r="I150" i="1"/>
  <c r="K150" i="1" s="1"/>
  <c r="I151" i="1"/>
  <c r="K151" i="1" s="1"/>
  <c r="I152" i="1"/>
  <c r="K152" i="1" s="1"/>
  <c r="I153" i="1"/>
  <c r="K153" i="1" s="1"/>
  <c r="I154" i="1"/>
  <c r="K154" i="1" s="1"/>
  <c r="I155" i="1"/>
  <c r="K155" i="1" s="1"/>
  <c r="I156" i="1"/>
  <c r="K156" i="1" s="1"/>
  <c r="I157" i="1"/>
  <c r="K157" i="1" s="1"/>
  <c r="I158" i="1"/>
  <c r="K158" i="1" s="1"/>
  <c r="I159" i="1"/>
  <c r="K159" i="1" s="1"/>
  <c r="I160" i="1"/>
  <c r="K160" i="1" s="1"/>
  <c r="I161" i="1"/>
  <c r="K161" i="1" s="1"/>
  <c r="I162" i="1"/>
  <c r="K162" i="1" s="1"/>
  <c r="I163" i="1"/>
  <c r="K163" i="1" s="1"/>
  <c r="I164" i="1"/>
  <c r="K164" i="1" s="1"/>
  <c r="I165" i="1"/>
  <c r="K165" i="1" s="1"/>
  <c r="I166" i="1"/>
  <c r="K166" i="1" s="1"/>
  <c r="I167" i="1"/>
  <c r="K167" i="1" s="1"/>
  <c r="I168" i="1"/>
  <c r="K168" i="1" s="1"/>
  <c r="I169" i="1"/>
  <c r="K169" i="1" s="1"/>
  <c r="I170" i="1"/>
  <c r="K170" i="1" s="1"/>
  <c r="I171" i="1"/>
  <c r="K171" i="1" s="1"/>
  <c r="I172" i="1"/>
  <c r="K172" i="1" s="1"/>
  <c r="I173" i="1"/>
  <c r="K173" i="1" s="1"/>
  <c r="I174" i="1"/>
  <c r="K174" i="1" s="1"/>
  <c r="I175" i="1"/>
  <c r="K175" i="1" s="1"/>
  <c r="I176" i="1"/>
  <c r="K176" i="1" s="1"/>
  <c r="I177" i="1"/>
  <c r="K177" i="1" s="1"/>
  <c r="I178" i="1"/>
  <c r="K178" i="1" s="1"/>
  <c r="I179" i="1"/>
  <c r="K179" i="1" s="1"/>
  <c r="I180" i="1"/>
  <c r="K180" i="1" s="1"/>
  <c r="I181" i="1"/>
  <c r="K181" i="1" s="1"/>
  <c r="I182" i="1"/>
  <c r="K182" i="1" s="1"/>
  <c r="I183" i="1"/>
  <c r="K183" i="1" s="1"/>
  <c r="I184" i="1"/>
  <c r="K184" i="1" s="1"/>
  <c r="I185" i="1"/>
  <c r="K185" i="1" s="1"/>
  <c r="I186" i="1"/>
  <c r="K186" i="1" s="1"/>
  <c r="I187" i="1"/>
  <c r="K187" i="1" s="1"/>
  <c r="I188" i="1"/>
  <c r="K188" i="1" s="1"/>
  <c r="I189" i="1"/>
  <c r="K189" i="1" s="1"/>
  <c r="I190" i="1"/>
  <c r="K190" i="1" s="1"/>
  <c r="I191" i="1"/>
  <c r="K191" i="1" s="1"/>
  <c r="I192" i="1"/>
  <c r="K192" i="1" s="1"/>
  <c r="I193" i="1"/>
  <c r="K193" i="1" s="1"/>
  <c r="I194" i="1"/>
  <c r="K194" i="1" s="1"/>
  <c r="I195" i="1"/>
  <c r="K195" i="1" s="1"/>
  <c r="I196" i="1"/>
  <c r="K196" i="1" s="1"/>
  <c r="I197" i="1"/>
  <c r="K197" i="1" s="1"/>
  <c r="I198" i="1"/>
  <c r="K198" i="1" s="1"/>
  <c r="I199" i="1"/>
  <c r="K199" i="1" s="1"/>
  <c r="I200" i="1"/>
  <c r="K200" i="1" s="1"/>
  <c r="I201" i="1"/>
  <c r="K201" i="1" s="1"/>
  <c r="I202" i="1"/>
  <c r="K202" i="1" s="1"/>
  <c r="I203" i="1"/>
  <c r="K203" i="1" s="1"/>
  <c r="I204" i="1"/>
  <c r="K204" i="1" s="1"/>
  <c r="I205" i="1"/>
  <c r="K205" i="1" s="1"/>
  <c r="I206" i="1"/>
  <c r="K206" i="1" s="1"/>
  <c r="I207" i="1"/>
  <c r="K207" i="1" s="1"/>
  <c r="I208" i="1"/>
  <c r="K208" i="1" s="1"/>
  <c r="I209" i="1"/>
  <c r="K209" i="1" s="1"/>
  <c r="I210" i="1"/>
  <c r="K210" i="1" s="1"/>
  <c r="I211" i="1"/>
  <c r="K211" i="1" s="1"/>
  <c r="I212" i="1"/>
  <c r="K212" i="1" s="1"/>
  <c r="I213" i="1"/>
  <c r="K213" i="1" s="1"/>
  <c r="I214" i="1"/>
  <c r="K214" i="1" s="1"/>
  <c r="I215" i="1"/>
  <c r="K215" i="1" s="1"/>
  <c r="I216" i="1"/>
  <c r="K216" i="1" s="1"/>
  <c r="I217" i="1"/>
  <c r="K217" i="1" s="1"/>
  <c r="I218" i="1"/>
  <c r="K218" i="1" s="1"/>
  <c r="I219" i="1"/>
  <c r="K219" i="1" s="1"/>
  <c r="I220" i="1"/>
  <c r="K220" i="1" s="1"/>
  <c r="I221" i="1"/>
  <c r="K221" i="1" s="1"/>
  <c r="I222" i="1"/>
  <c r="K222" i="1" s="1"/>
  <c r="I223" i="1"/>
  <c r="K223" i="1" s="1"/>
  <c r="I224" i="1"/>
  <c r="K224" i="1" s="1"/>
  <c r="I225" i="1"/>
  <c r="K225" i="1" s="1"/>
  <c r="I226" i="1"/>
  <c r="K226" i="1" s="1"/>
  <c r="I227" i="1"/>
  <c r="K227" i="1" s="1"/>
  <c r="I228" i="1"/>
  <c r="K228" i="1" s="1"/>
  <c r="I229" i="1"/>
  <c r="K229" i="1" s="1"/>
  <c r="I230" i="1"/>
  <c r="K230" i="1" s="1"/>
  <c r="I231" i="1"/>
  <c r="K231" i="1" s="1"/>
  <c r="I232" i="1"/>
  <c r="K232" i="1" s="1"/>
  <c r="I233" i="1"/>
  <c r="K233" i="1" s="1"/>
  <c r="I234" i="1"/>
  <c r="K234" i="1" s="1"/>
  <c r="I235" i="1"/>
  <c r="K235" i="1" s="1"/>
  <c r="I236" i="1"/>
  <c r="K236" i="1" s="1"/>
  <c r="I237" i="1"/>
  <c r="K237" i="1" s="1"/>
  <c r="I238" i="1"/>
  <c r="K238" i="1" s="1"/>
  <c r="I239" i="1"/>
  <c r="K239" i="1" s="1"/>
  <c r="I240" i="1"/>
  <c r="K240" i="1" s="1"/>
  <c r="I241" i="1"/>
  <c r="K241" i="1" s="1"/>
  <c r="I242" i="1"/>
  <c r="K242" i="1" s="1"/>
  <c r="I243" i="1"/>
  <c r="K243" i="1" s="1"/>
  <c r="I244" i="1"/>
  <c r="K244" i="1" s="1"/>
  <c r="I245" i="1"/>
  <c r="K245" i="1" s="1"/>
  <c r="I246" i="1"/>
  <c r="K246" i="1" s="1"/>
  <c r="I247" i="1"/>
  <c r="K247" i="1" s="1"/>
  <c r="I248" i="1"/>
  <c r="K248" i="1" s="1"/>
  <c r="I249" i="1"/>
  <c r="K249" i="1" s="1"/>
  <c r="I250" i="1"/>
  <c r="K250" i="1" s="1"/>
  <c r="I251" i="1"/>
  <c r="K251" i="1" s="1"/>
  <c r="I252" i="1"/>
  <c r="K252" i="1" s="1"/>
  <c r="I253" i="1"/>
  <c r="K253" i="1" s="1"/>
  <c r="I254" i="1"/>
  <c r="K254" i="1" s="1"/>
  <c r="I255" i="1"/>
  <c r="K255" i="1" s="1"/>
  <c r="I256" i="1"/>
  <c r="K256" i="1" s="1"/>
  <c r="I257" i="1"/>
  <c r="K257" i="1" s="1"/>
  <c r="I258" i="1"/>
  <c r="K258" i="1" s="1"/>
  <c r="I259" i="1"/>
  <c r="K259" i="1" s="1"/>
  <c r="I260" i="1"/>
  <c r="K260" i="1" s="1"/>
  <c r="I261" i="1"/>
  <c r="K261" i="1" s="1"/>
  <c r="I262" i="1"/>
  <c r="K262" i="1" s="1"/>
  <c r="I263" i="1"/>
  <c r="K263" i="1" s="1"/>
  <c r="I264" i="1"/>
  <c r="K264" i="1" s="1"/>
  <c r="I265" i="1"/>
  <c r="K265" i="1" s="1"/>
  <c r="I266" i="1"/>
  <c r="K266" i="1" s="1"/>
  <c r="I267" i="1"/>
  <c r="K267" i="1" s="1"/>
  <c r="I268" i="1"/>
  <c r="K268" i="1" s="1"/>
  <c r="I269" i="1"/>
  <c r="K269" i="1" s="1"/>
  <c r="I270" i="1"/>
  <c r="K270" i="1" s="1"/>
  <c r="I271" i="1"/>
  <c r="K271" i="1" s="1"/>
  <c r="I272" i="1"/>
  <c r="K272" i="1" s="1"/>
  <c r="I273" i="1"/>
  <c r="K273" i="1" s="1"/>
  <c r="I274" i="1"/>
  <c r="K274" i="1" s="1"/>
  <c r="I275" i="1"/>
  <c r="K275" i="1" s="1"/>
  <c r="I276" i="1"/>
  <c r="K276" i="1" s="1"/>
  <c r="I277" i="1"/>
  <c r="K277" i="1" s="1"/>
  <c r="I278" i="1"/>
  <c r="K278" i="1" s="1"/>
  <c r="I279" i="1"/>
  <c r="K279" i="1" s="1"/>
  <c r="I280" i="1"/>
  <c r="K280" i="1" s="1"/>
  <c r="I281" i="1"/>
  <c r="K281" i="1" s="1"/>
  <c r="I282" i="1"/>
  <c r="K282" i="1" s="1"/>
  <c r="I283" i="1"/>
  <c r="K283" i="1" s="1"/>
  <c r="I284" i="1"/>
  <c r="K284" i="1" s="1"/>
  <c r="I285" i="1"/>
  <c r="K285" i="1" s="1"/>
  <c r="I286" i="1"/>
  <c r="K286" i="1" s="1"/>
  <c r="I287" i="1"/>
  <c r="K287" i="1" s="1"/>
  <c r="I288" i="1"/>
  <c r="K288" i="1" s="1"/>
  <c r="I289" i="1"/>
  <c r="K289" i="1" s="1"/>
  <c r="I290" i="1"/>
  <c r="K290" i="1" s="1"/>
  <c r="I291" i="1"/>
  <c r="K291" i="1" s="1"/>
  <c r="I292" i="1"/>
  <c r="K292" i="1" s="1"/>
  <c r="K293" i="1"/>
  <c r="I294" i="1"/>
  <c r="K294" i="1" s="1"/>
  <c r="I295" i="1"/>
  <c r="K295" i="1" s="1"/>
  <c r="I296" i="1"/>
  <c r="K296" i="1" s="1"/>
  <c r="I297" i="1"/>
  <c r="K297" i="1" s="1"/>
  <c r="I298" i="1"/>
  <c r="K298" i="1" s="1"/>
  <c r="I299" i="1"/>
  <c r="K299" i="1" s="1"/>
  <c r="I300" i="1"/>
  <c r="K300" i="1" s="1"/>
  <c r="I301" i="1"/>
  <c r="K301" i="1" s="1"/>
  <c r="I302" i="1"/>
  <c r="K302" i="1" s="1"/>
  <c r="I303" i="1"/>
  <c r="K303" i="1" s="1"/>
  <c r="I304" i="1"/>
  <c r="K304" i="1" s="1"/>
  <c r="I305" i="1"/>
  <c r="K305" i="1" s="1"/>
  <c r="I306" i="1"/>
  <c r="K306" i="1" s="1"/>
  <c r="I307" i="1"/>
  <c r="K307" i="1" s="1"/>
  <c r="I308" i="1"/>
  <c r="K308" i="1" s="1"/>
  <c r="I309" i="1"/>
  <c r="K309" i="1" s="1"/>
  <c r="I310" i="1"/>
  <c r="K310" i="1" s="1"/>
  <c r="I311" i="1"/>
  <c r="K311" i="1" s="1"/>
  <c r="I312" i="1"/>
  <c r="K312" i="1" s="1"/>
  <c r="I313" i="1"/>
  <c r="K313" i="1" s="1"/>
  <c r="I314" i="1"/>
  <c r="K314" i="1" s="1"/>
  <c r="I315" i="1"/>
  <c r="K315" i="1" s="1"/>
  <c r="I316" i="1"/>
  <c r="K316" i="1" s="1"/>
  <c r="I317" i="1"/>
  <c r="K317" i="1" s="1"/>
  <c r="I318" i="1"/>
  <c r="K318" i="1" s="1"/>
  <c r="I319" i="1"/>
  <c r="K319" i="1" s="1"/>
  <c r="I320" i="1"/>
  <c r="K320" i="1" s="1"/>
  <c r="I321" i="1"/>
  <c r="K321" i="1" s="1"/>
  <c r="I322" i="1"/>
  <c r="K322" i="1" s="1"/>
  <c r="I323" i="1"/>
  <c r="K323" i="1" s="1"/>
  <c r="I324" i="1"/>
  <c r="K324" i="1" s="1"/>
  <c r="I325" i="1"/>
  <c r="K325" i="1" s="1"/>
  <c r="I326" i="1"/>
  <c r="K326" i="1" s="1"/>
  <c r="I327" i="1"/>
  <c r="K327" i="1" s="1"/>
  <c r="I3" i="1"/>
  <c r="I4" i="1"/>
  <c r="I5" i="1"/>
  <c r="K5" i="1" s="1"/>
  <c r="I6" i="1"/>
  <c r="K6" i="1" s="1"/>
  <c r="I7" i="1"/>
  <c r="K7" i="1" s="1"/>
  <c r="I8" i="1"/>
  <c r="I9" i="1"/>
  <c r="K9" i="1" s="1"/>
  <c r="I10" i="1"/>
  <c r="K10" i="1" s="1"/>
  <c r="I11" i="1"/>
  <c r="K11" i="1" s="1"/>
  <c r="I12" i="1"/>
  <c r="I13" i="1"/>
  <c r="K13" i="1" s="1"/>
  <c r="O319" i="1" l="1"/>
  <c r="O271" i="1"/>
  <c r="O229" i="1"/>
  <c r="O199" i="1"/>
  <c r="O187" i="1"/>
  <c r="O175" i="1"/>
  <c r="O151" i="1"/>
  <c r="O145" i="1"/>
  <c r="O139" i="1"/>
  <c r="O133" i="1"/>
  <c r="O127" i="1"/>
  <c r="O121" i="1"/>
  <c r="O115" i="1"/>
  <c r="O109" i="1"/>
  <c r="O103" i="1"/>
  <c r="O97" i="1"/>
  <c r="O91" i="1"/>
  <c r="O85" i="1"/>
  <c r="O79" i="1"/>
  <c r="O73" i="1"/>
  <c r="O67" i="1"/>
  <c r="O61" i="1"/>
  <c r="O55" i="1"/>
  <c r="O49" i="1"/>
  <c r="O43" i="1"/>
  <c r="O37" i="1"/>
  <c r="O31" i="1"/>
  <c r="O25" i="1"/>
  <c r="O19" i="1"/>
  <c r="O10" i="1"/>
  <c r="O324" i="1"/>
  <c r="O318" i="1"/>
  <c r="O312" i="1"/>
  <c r="O306" i="1"/>
  <c r="O300" i="1"/>
  <c r="O294" i="1"/>
  <c r="O288" i="1"/>
  <c r="O282" i="1"/>
  <c r="O276" i="1"/>
  <c r="O270" i="1"/>
  <c r="O264" i="1"/>
  <c r="O258" i="1"/>
  <c r="O252" i="1"/>
  <c r="O246" i="1"/>
  <c r="O240" i="1"/>
  <c r="O234" i="1"/>
  <c r="O228" i="1"/>
  <c r="O222" i="1"/>
  <c r="O216" i="1"/>
  <c r="O210" i="1"/>
  <c r="O204" i="1"/>
  <c r="O198" i="1"/>
  <c r="O192" i="1"/>
  <c r="O186" i="1"/>
  <c r="O180" i="1"/>
  <c r="O174" i="1"/>
  <c r="O168" i="1"/>
  <c r="O162" i="1"/>
  <c r="O156" i="1"/>
  <c r="O150" i="1"/>
  <c r="O144" i="1"/>
  <c r="O138" i="1"/>
  <c r="O132" i="1"/>
  <c r="O126" i="1"/>
  <c r="O120" i="1"/>
  <c r="O114" i="1"/>
  <c r="O108" i="1"/>
  <c r="O102" i="1"/>
  <c r="O96" i="1"/>
  <c r="O90" i="1"/>
  <c r="O84" i="1"/>
  <c r="O78" i="1"/>
  <c r="O72" i="1"/>
  <c r="O66" i="1"/>
  <c r="O60" i="1"/>
  <c r="O54" i="1"/>
  <c r="O48" i="1"/>
  <c r="O42" i="1"/>
  <c r="O36" i="1"/>
  <c r="O30" i="1"/>
  <c r="O24" i="1"/>
  <c r="O18" i="1"/>
  <c r="O5" i="1"/>
  <c r="O307" i="1"/>
  <c r="O289" i="1"/>
  <c r="O259" i="1"/>
  <c r="O235" i="1"/>
  <c r="O211" i="1"/>
  <c r="O193" i="1"/>
  <c r="O181" i="1"/>
  <c r="O311" i="1"/>
  <c r="O305" i="1"/>
  <c r="O299" i="1"/>
  <c r="O293" i="1"/>
  <c r="O287" i="1"/>
  <c r="O281" i="1"/>
  <c r="O275" i="1"/>
  <c r="O269" i="1"/>
  <c r="O263" i="1"/>
  <c r="O257" i="1"/>
  <c r="O251" i="1"/>
  <c r="O245" i="1"/>
  <c r="O239" i="1"/>
  <c r="O233" i="1"/>
  <c r="O227" i="1"/>
  <c r="O221" i="1"/>
  <c r="O215" i="1"/>
  <c r="O209" i="1"/>
  <c r="O203" i="1"/>
  <c r="O197" i="1"/>
  <c r="O191" i="1"/>
  <c r="O185" i="1"/>
  <c r="O179" i="1"/>
  <c r="O173" i="1"/>
  <c r="O167" i="1"/>
  <c r="O161" i="1"/>
  <c r="O155" i="1"/>
  <c r="O149" i="1"/>
  <c r="O143" i="1"/>
  <c r="O137" i="1"/>
  <c r="O131" i="1"/>
  <c r="O125" i="1"/>
  <c r="O119" i="1"/>
  <c r="O113" i="1"/>
  <c r="O107" i="1"/>
  <c r="O101" i="1"/>
  <c r="O95" i="1"/>
  <c r="O89" i="1"/>
  <c r="O83" i="1"/>
  <c r="O77" i="1"/>
  <c r="O71" i="1"/>
  <c r="O65" i="1"/>
  <c r="O59" i="1"/>
  <c r="O53" i="1"/>
  <c r="O47" i="1"/>
  <c r="O41" i="1"/>
  <c r="O35" i="1"/>
  <c r="O29" i="1"/>
  <c r="O23" i="1"/>
  <c r="O17" i="1"/>
  <c r="O325" i="1"/>
  <c r="O295" i="1"/>
  <c r="O265" i="1"/>
  <c r="O241" i="1"/>
  <c r="O205" i="1"/>
  <c r="O169" i="1"/>
  <c r="O9" i="1"/>
  <c r="O310" i="1"/>
  <c r="O298" i="1"/>
  <c r="O292" i="1"/>
  <c r="O286" i="1"/>
  <c r="O280" i="1"/>
  <c r="O274" i="1"/>
  <c r="O268" i="1"/>
  <c r="O262" i="1"/>
  <c r="O256" i="1"/>
  <c r="O250" i="1"/>
  <c r="O244" i="1"/>
  <c r="O238" i="1"/>
  <c r="O232" i="1"/>
  <c r="O226" i="1"/>
  <c r="O220" i="1"/>
  <c r="O214" i="1"/>
  <c r="O208" i="1"/>
  <c r="O202" i="1"/>
  <c r="O196" i="1"/>
  <c r="O190" i="1"/>
  <c r="O184" i="1"/>
  <c r="O178" i="1"/>
  <c r="O172" i="1"/>
  <c r="O166" i="1"/>
  <c r="O160" i="1"/>
  <c r="O154" i="1"/>
  <c r="O148" i="1"/>
  <c r="O142" i="1"/>
  <c r="O136" i="1"/>
  <c r="O130" i="1"/>
  <c r="O124" i="1"/>
  <c r="O118" i="1"/>
  <c r="O112" i="1"/>
  <c r="O106" i="1"/>
  <c r="O100" i="1"/>
  <c r="O94" i="1"/>
  <c r="O88" i="1"/>
  <c r="O82" i="1"/>
  <c r="O76" i="1"/>
  <c r="O70" i="1"/>
  <c r="O64" i="1"/>
  <c r="O58" i="1"/>
  <c r="O52" i="1"/>
  <c r="O46" i="1"/>
  <c r="O40" i="1"/>
  <c r="O34" i="1"/>
  <c r="O28" i="1"/>
  <c r="O22" i="1"/>
  <c r="O16" i="1"/>
  <c r="O313" i="1"/>
  <c r="O283" i="1"/>
  <c r="O247" i="1"/>
  <c r="O217" i="1"/>
  <c r="O163" i="1"/>
  <c r="O323" i="1"/>
  <c r="O316" i="1"/>
  <c r="O13" i="1"/>
  <c r="O327" i="1"/>
  <c r="O309" i="1"/>
  <c r="O297" i="1"/>
  <c r="O285" i="1"/>
  <c r="O273" i="1"/>
  <c r="O261" i="1"/>
  <c r="O249" i="1"/>
  <c r="O243" i="1"/>
  <c r="O237" i="1"/>
  <c r="O231" i="1"/>
  <c r="O225" i="1"/>
  <c r="O219" i="1"/>
  <c r="O213" i="1"/>
  <c r="O207" i="1"/>
  <c r="O201" i="1"/>
  <c r="O195" i="1"/>
  <c r="O189" i="1"/>
  <c r="O183" i="1"/>
  <c r="O177" i="1"/>
  <c r="O171" i="1"/>
  <c r="O165" i="1"/>
  <c r="O159" i="1"/>
  <c r="O153" i="1"/>
  <c r="O147" i="1"/>
  <c r="O141" i="1"/>
  <c r="O135" i="1"/>
  <c r="O129" i="1"/>
  <c r="O123" i="1"/>
  <c r="O117" i="1"/>
  <c r="O111" i="1"/>
  <c r="O105" i="1"/>
  <c r="O99" i="1"/>
  <c r="O93" i="1"/>
  <c r="O87" i="1"/>
  <c r="O81" i="1"/>
  <c r="O75" i="1"/>
  <c r="O69" i="1"/>
  <c r="O63" i="1"/>
  <c r="O57" i="1"/>
  <c r="O51" i="1"/>
  <c r="O45" i="1"/>
  <c r="O39" i="1"/>
  <c r="O33" i="1"/>
  <c r="O27" i="1"/>
  <c r="O21" i="1"/>
  <c r="O15" i="1"/>
  <c r="O11" i="1"/>
  <c r="O301" i="1"/>
  <c r="O277" i="1"/>
  <c r="O253" i="1"/>
  <c r="O223" i="1"/>
  <c r="O157" i="1"/>
  <c r="O317" i="1"/>
  <c r="O322" i="1"/>
  <c r="O304" i="1"/>
  <c r="O7" i="1"/>
  <c r="O321" i="1"/>
  <c r="O315" i="1"/>
  <c r="O303" i="1"/>
  <c r="O291" i="1"/>
  <c r="O279" i="1"/>
  <c r="O267" i="1"/>
  <c r="O255" i="1"/>
  <c r="O6" i="1"/>
  <c r="O326" i="1"/>
  <c r="O320" i="1"/>
  <c r="O314" i="1"/>
  <c r="O308" i="1"/>
  <c r="O302" i="1"/>
  <c r="O296" i="1"/>
  <c r="O290" i="1"/>
  <c r="O284" i="1"/>
  <c r="O278" i="1"/>
  <c r="O272" i="1"/>
  <c r="O266" i="1"/>
  <c r="O260" i="1"/>
  <c r="O254" i="1"/>
  <c r="O248" i="1"/>
  <c r="O242" i="1"/>
  <c r="O236" i="1"/>
  <c r="O230" i="1"/>
  <c r="O224" i="1"/>
  <c r="O218" i="1"/>
  <c r="O212" i="1"/>
  <c r="O206" i="1"/>
  <c r="O200" i="1"/>
  <c r="O194" i="1"/>
  <c r="O188" i="1"/>
  <c r="O182" i="1"/>
  <c r="O176" i="1"/>
  <c r="O170" i="1"/>
  <c r="O164" i="1"/>
  <c r="O158" i="1"/>
  <c r="O152" i="1"/>
  <c r="O146" i="1"/>
  <c r="O140" i="1"/>
  <c r="O134" i="1"/>
  <c r="O128" i="1"/>
  <c r="O122" i="1"/>
  <c r="O116" i="1"/>
  <c r="O110" i="1"/>
  <c r="O104" i="1"/>
  <c r="O98" i="1"/>
  <c r="O92" i="1"/>
  <c r="O86" i="1"/>
  <c r="O80" i="1"/>
  <c r="O74" i="1"/>
  <c r="O68" i="1"/>
  <c r="O62" i="1"/>
  <c r="O56" i="1"/>
  <c r="O50" i="1"/>
  <c r="O44" i="1"/>
  <c r="O38" i="1"/>
  <c r="O32" i="1"/>
  <c r="O26" i="1"/>
  <c r="O20" i="1"/>
  <c r="O14" i="1"/>
  <c r="N5" i="1"/>
  <c r="M5" i="1"/>
  <c r="M319" i="1"/>
  <c r="N319" i="1"/>
  <c r="M303" i="1"/>
  <c r="N303" i="1"/>
  <c r="M287" i="1"/>
  <c r="N287" i="1"/>
  <c r="N271" i="1"/>
  <c r="M271" i="1"/>
  <c r="N259" i="1"/>
  <c r="M259" i="1"/>
  <c r="N314" i="1"/>
  <c r="M314" i="1"/>
  <c r="M11" i="1"/>
  <c r="N11" i="1"/>
  <c r="M7" i="1"/>
  <c r="N7" i="1"/>
  <c r="M325" i="1"/>
  <c r="N325" i="1"/>
  <c r="M321" i="1"/>
  <c r="N321" i="1"/>
  <c r="M317" i="1"/>
  <c r="N317" i="1"/>
  <c r="N313" i="1"/>
  <c r="M313" i="1"/>
  <c r="M309" i="1"/>
  <c r="N309" i="1"/>
  <c r="M305" i="1"/>
  <c r="N305" i="1"/>
  <c r="M301" i="1"/>
  <c r="N301" i="1"/>
  <c r="N297" i="1"/>
  <c r="M297" i="1"/>
  <c r="M293" i="1"/>
  <c r="N293" i="1"/>
  <c r="N289" i="1"/>
  <c r="M289" i="1"/>
  <c r="N285" i="1"/>
  <c r="M285" i="1"/>
  <c r="N281" i="1"/>
  <c r="M281" i="1"/>
  <c r="N277" i="1"/>
  <c r="M277" i="1"/>
  <c r="M273" i="1"/>
  <c r="N273" i="1"/>
  <c r="N269" i="1"/>
  <c r="M269" i="1"/>
  <c r="N265" i="1"/>
  <c r="M265" i="1"/>
  <c r="N261" i="1"/>
  <c r="M261" i="1"/>
  <c r="M257" i="1"/>
  <c r="N257" i="1"/>
  <c r="N253" i="1"/>
  <c r="M253" i="1"/>
  <c r="N249" i="1"/>
  <c r="M249" i="1"/>
  <c r="N245" i="1"/>
  <c r="M245" i="1"/>
  <c r="M241" i="1"/>
  <c r="N241" i="1"/>
  <c r="N237" i="1"/>
  <c r="M237" i="1"/>
  <c r="N233" i="1"/>
  <c r="M233" i="1"/>
  <c r="N229" i="1"/>
  <c r="M229" i="1"/>
  <c r="N225" i="1"/>
  <c r="M225" i="1"/>
  <c r="N221" i="1"/>
  <c r="M221" i="1"/>
  <c r="M217" i="1"/>
  <c r="N217" i="1"/>
  <c r="N213" i="1"/>
  <c r="M213" i="1"/>
  <c r="N209" i="1"/>
  <c r="M209" i="1"/>
  <c r="N205" i="1"/>
  <c r="M205" i="1"/>
  <c r="M201" i="1"/>
  <c r="N201" i="1"/>
  <c r="N197" i="1"/>
  <c r="M197" i="1"/>
  <c r="N193" i="1"/>
  <c r="M193" i="1"/>
  <c r="N189" i="1"/>
  <c r="M189" i="1"/>
  <c r="M185" i="1"/>
  <c r="N185" i="1"/>
  <c r="N181" i="1"/>
  <c r="M181" i="1"/>
  <c r="M177" i="1"/>
  <c r="N177" i="1"/>
  <c r="N173" i="1"/>
  <c r="M173" i="1"/>
  <c r="M169" i="1"/>
  <c r="N169" i="1"/>
  <c r="N165" i="1"/>
  <c r="M165" i="1"/>
  <c r="N161" i="1"/>
  <c r="M161" i="1"/>
  <c r="N157" i="1"/>
  <c r="M157" i="1"/>
  <c r="M153" i="1"/>
  <c r="N153" i="1"/>
  <c r="M149" i="1"/>
  <c r="N149" i="1"/>
  <c r="N145" i="1"/>
  <c r="M145" i="1"/>
  <c r="M141" i="1"/>
  <c r="N141" i="1"/>
  <c r="N137" i="1"/>
  <c r="M137" i="1"/>
  <c r="M133" i="1"/>
  <c r="N133" i="1"/>
  <c r="M129" i="1"/>
  <c r="N129" i="1"/>
  <c r="M125" i="1"/>
  <c r="N125" i="1"/>
  <c r="M121" i="1"/>
  <c r="N121" i="1"/>
  <c r="N117" i="1"/>
  <c r="M117" i="1"/>
  <c r="N113" i="1"/>
  <c r="M113" i="1"/>
  <c r="N109" i="1"/>
  <c r="M109" i="1"/>
  <c r="N105" i="1"/>
  <c r="M105" i="1"/>
  <c r="N101" i="1"/>
  <c r="M101" i="1"/>
  <c r="N97" i="1"/>
  <c r="M97" i="1"/>
  <c r="N93" i="1"/>
  <c r="M93" i="1"/>
  <c r="M89" i="1"/>
  <c r="N89" i="1"/>
  <c r="N85" i="1"/>
  <c r="M85" i="1"/>
  <c r="N81" i="1"/>
  <c r="M81" i="1"/>
  <c r="N77" i="1"/>
  <c r="M77" i="1"/>
  <c r="N73" i="1"/>
  <c r="M73" i="1"/>
  <c r="N69" i="1"/>
  <c r="M69" i="1"/>
  <c r="M65" i="1"/>
  <c r="N65" i="1"/>
  <c r="N61" i="1"/>
  <c r="M61" i="1"/>
  <c r="M57" i="1"/>
  <c r="N57" i="1"/>
  <c r="M53" i="1"/>
  <c r="N53" i="1"/>
  <c r="N49" i="1"/>
  <c r="M49" i="1"/>
  <c r="M45" i="1"/>
  <c r="N45" i="1"/>
  <c r="N41" i="1"/>
  <c r="M41" i="1"/>
  <c r="M37" i="1"/>
  <c r="N37" i="1"/>
  <c r="M33" i="1"/>
  <c r="N33" i="1"/>
  <c r="N29" i="1"/>
  <c r="M29" i="1"/>
  <c r="N25" i="1"/>
  <c r="M25" i="1"/>
  <c r="N21" i="1"/>
  <c r="M21" i="1"/>
  <c r="M17" i="1"/>
  <c r="N17" i="1"/>
  <c r="N315" i="1"/>
  <c r="M315" i="1"/>
  <c r="N299" i="1"/>
  <c r="M299" i="1"/>
  <c r="M275" i="1"/>
  <c r="N275" i="1"/>
  <c r="N247" i="1"/>
  <c r="M247" i="1"/>
  <c r="M326" i="1"/>
  <c r="N326" i="1"/>
  <c r="M318" i="1"/>
  <c r="N318" i="1"/>
  <c r="M10" i="1"/>
  <c r="N10" i="1"/>
  <c r="N6" i="1"/>
  <c r="M6" i="1"/>
  <c r="M324" i="1"/>
  <c r="N324" i="1"/>
  <c r="N320" i="1"/>
  <c r="M320" i="1"/>
  <c r="M316" i="1"/>
  <c r="N316" i="1"/>
  <c r="M312" i="1"/>
  <c r="N312" i="1"/>
  <c r="M308" i="1"/>
  <c r="N308" i="1"/>
  <c r="M304" i="1"/>
  <c r="N304" i="1"/>
  <c r="M300" i="1"/>
  <c r="N300" i="1"/>
  <c r="M296" i="1"/>
  <c r="N296" i="1"/>
  <c r="M292" i="1"/>
  <c r="N292" i="1"/>
  <c r="N288" i="1"/>
  <c r="M288" i="1"/>
  <c r="N284" i="1"/>
  <c r="M284" i="1"/>
  <c r="N280" i="1"/>
  <c r="M280" i="1"/>
  <c r="N276" i="1"/>
  <c r="M276" i="1"/>
  <c r="M272" i="1"/>
  <c r="N272" i="1"/>
  <c r="N268" i="1"/>
  <c r="M268" i="1"/>
  <c r="N264" i="1"/>
  <c r="M264" i="1"/>
  <c r="M260" i="1"/>
  <c r="N260" i="1"/>
  <c r="N256" i="1"/>
  <c r="M256" i="1"/>
  <c r="N252" i="1"/>
  <c r="M252" i="1"/>
  <c r="N248" i="1"/>
  <c r="M248" i="1"/>
  <c r="M244" i="1"/>
  <c r="N244" i="1"/>
  <c r="N240" i="1"/>
  <c r="M240" i="1"/>
  <c r="N236" i="1"/>
  <c r="M236" i="1"/>
  <c r="M232" i="1"/>
  <c r="N232" i="1"/>
  <c r="M228" i="1"/>
  <c r="N228" i="1"/>
  <c r="N224" i="1"/>
  <c r="M224" i="1"/>
  <c r="N220" i="1"/>
  <c r="M220" i="1"/>
  <c r="M216" i="1"/>
  <c r="N216" i="1"/>
  <c r="M212" i="1"/>
  <c r="N212" i="1"/>
  <c r="N208" i="1"/>
  <c r="M208" i="1"/>
  <c r="M204" i="1"/>
  <c r="N204" i="1"/>
  <c r="N200" i="1"/>
  <c r="M200" i="1"/>
  <c r="N196" i="1"/>
  <c r="M196" i="1"/>
  <c r="M192" i="1"/>
  <c r="N192" i="1"/>
  <c r="N188" i="1"/>
  <c r="M188" i="1"/>
  <c r="N184" i="1"/>
  <c r="M184" i="1"/>
  <c r="M180" i="1"/>
  <c r="N180" i="1"/>
  <c r="N176" i="1"/>
  <c r="M176" i="1"/>
  <c r="N172" i="1"/>
  <c r="M172" i="1"/>
  <c r="N168" i="1"/>
  <c r="M168" i="1"/>
  <c r="N164" i="1"/>
  <c r="M164" i="1"/>
  <c r="M160" i="1"/>
  <c r="N160" i="1"/>
  <c r="N156" i="1"/>
  <c r="M156" i="1"/>
  <c r="M152" i="1"/>
  <c r="N152" i="1"/>
  <c r="M148" i="1"/>
  <c r="N148" i="1"/>
  <c r="N144" i="1"/>
  <c r="M144" i="1"/>
  <c r="N140" i="1"/>
  <c r="M140" i="1"/>
  <c r="M136" i="1"/>
  <c r="N136" i="1"/>
  <c r="N132" i="1"/>
  <c r="M132" i="1"/>
  <c r="M128" i="1"/>
  <c r="N128" i="1"/>
  <c r="N124" i="1"/>
  <c r="M124" i="1"/>
  <c r="N120" i="1"/>
  <c r="M120" i="1"/>
  <c r="M116" i="1"/>
  <c r="N116" i="1"/>
  <c r="N112" i="1"/>
  <c r="M112" i="1"/>
  <c r="M108" i="1"/>
  <c r="N108" i="1"/>
  <c r="N104" i="1"/>
  <c r="M104" i="1"/>
  <c r="N100" i="1"/>
  <c r="M100" i="1"/>
  <c r="M96" i="1"/>
  <c r="N96" i="1"/>
  <c r="M92" i="1"/>
  <c r="N92" i="1"/>
  <c r="M88" i="1"/>
  <c r="N88" i="1"/>
  <c r="M84" i="1"/>
  <c r="N84" i="1"/>
  <c r="N80" i="1"/>
  <c r="M80" i="1"/>
  <c r="N76" i="1"/>
  <c r="M76" i="1"/>
  <c r="N72" i="1"/>
  <c r="M72" i="1"/>
  <c r="N68" i="1"/>
  <c r="M68" i="1"/>
  <c r="M64" i="1"/>
  <c r="N64" i="1"/>
  <c r="N60" i="1"/>
  <c r="M60" i="1"/>
  <c r="N56" i="1"/>
  <c r="M56" i="1"/>
  <c r="M52" i="1"/>
  <c r="N52" i="1"/>
  <c r="N48" i="1"/>
  <c r="M48" i="1"/>
  <c r="M44" i="1"/>
  <c r="N44" i="1"/>
  <c r="N40" i="1"/>
  <c r="M40" i="1"/>
  <c r="N36" i="1"/>
  <c r="M36" i="1"/>
  <c r="M32" i="1"/>
  <c r="N32" i="1"/>
  <c r="N28" i="1"/>
  <c r="M28" i="1"/>
  <c r="M24" i="1"/>
  <c r="N24" i="1"/>
  <c r="M20" i="1"/>
  <c r="N20" i="1"/>
  <c r="N16" i="1"/>
  <c r="M16" i="1"/>
  <c r="N13" i="1"/>
  <c r="M13" i="1"/>
  <c r="N327" i="1"/>
  <c r="M327" i="1"/>
  <c r="N311" i="1"/>
  <c r="M311" i="1"/>
  <c r="N291" i="1"/>
  <c r="M291" i="1"/>
  <c r="M279" i="1"/>
  <c r="N279" i="1"/>
  <c r="N263" i="1"/>
  <c r="M263" i="1"/>
  <c r="N255" i="1"/>
  <c r="M255" i="1"/>
  <c r="N243" i="1"/>
  <c r="M243" i="1"/>
  <c r="N239" i="1"/>
  <c r="M239" i="1"/>
  <c r="M235" i="1"/>
  <c r="N235" i="1"/>
  <c r="N231" i="1"/>
  <c r="M231" i="1"/>
  <c r="N227" i="1"/>
  <c r="M227" i="1"/>
  <c r="N223" i="1"/>
  <c r="M223" i="1"/>
  <c r="M219" i="1"/>
  <c r="N219" i="1"/>
  <c r="N215" i="1"/>
  <c r="M215" i="1"/>
  <c r="N211" i="1"/>
  <c r="M211" i="1"/>
  <c r="N207" i="1"/>
  <c r="M207" i="1"/>
  <c r="N203" i="1"/>
  <c r="M203" i="1"/>
  <c r="M199" i="1"/>
  <c r="N199" i="1"/>
  <c r="N195" i="1"/>
  <c r="M195" i="1"/>
  <c r="N191" i="1"/>
  <c r="M191" i="1"/>
  <c r="N187" i="1"/>
  <c r="M187" i="1"/>
  <c r="N183" i="1"/>
  <c r="M183" i="1"/>
  <c r="N179" i="1"/>
  <c r="M179" i="1"/>
  <c r="N175" i="1"/>
  <c r="M175" i="1"/>
  <c r="N171" i="1"/>
  <c r="M171" i="1"/>
  <c r="N167" i="1"/>
  <c r="M167" i="1"/>
  <c r="N163" i="1"/>
  <c r="M163" i="1"/>
  <c r="M159" i="1"/>
  <c r="N159" i="1"/>
  <c r="N155" i="1"/>
  <c r="M155" i="1"/>
  <c r="M151" i="1"/>
  <c r="N151" i="1"/>
  <c r="N147" i="1"/>
  <c r="M147" i="1"/>
  <c r="M143" i="1"/>
  <c r="N143" i="1"/>
  <c r="N139" i="1"/>
  <c r="M139" i="1"/>
  <c r="M135" i="1"/>
  <c r="N135" i="1"/>
  <c r="M131" i="1"/>
  <c r="N131" i="1"/>
  <c r="N127" i="1"/>
  <c r="M127" i="1"/>
  <c r="N123" i="1"/>
  <c r="M123" i="1"/>
  <c r="N119" i="1"/>
  <c r="M119" i="1"/>
  <c r="N115" i="1"/>
  <c r="M115" i="1"/>
  <c r="N111" i="1"/>
  <c r="M111" i="1"/>
  <c r="N107" i="1"/>
  <c r="M107" i="1"/>
  <c r="N103" i="1"/>
  <c r="M103" i="1"/>
  <c r="M99" i="1"/>
  <c r="N99" i="1"/>
  <c r="N95" i="1"/>
  <c r="M95" i="1"/>
  <c r="M91" i="1"/>
  <c r="N91" i="1"/>
  <c r="N87" i="1"/>
  <c r="M87" i="1"/>
  <c r="M83" i="1"/>
  <c r="N83" i="1"/>
  <c r="N79" i="1"/>
  <c r="M79" i="1"/>
  <c r="M75" i="1"/>
  <c r="N75" i="1"/>
  <c r="N71" i="1"/>
  <c r="M71" i="1"/>
  <c r="M67" i="1"/>
  <c r="N67" i="1"/>
  <c r="N63" i="1"/>
  <c r="M63" i="1"/>
  <c r="N59" i="1"/>
  <c r="M59" i="1"/>
  <c r="N55" i="1"/>
  <c r="M55" i="1"/>
  <c r="N51" i="1"/>
  <c r="M51" i="1"/>
  <c r="N47" i="1"/>
  <c r="M47" i="1"/>
  <c r="N43" i="1"/>
  <c r="M43" i="1"/>
  <c r="M39" i="1"/>
  <c r="N39" i="1"/>
  <c r="M35" i="1"/>
  <c r="N35" i="1"/>
  <c r="N31" i="1"/>
  <c r="M31" i="1"/>
  <c r="N27" i="1"/>
  <c r="M27" i="1"/>
  <c r="N23" i="1"/>
  <c r="M23" i="1"/>
  <c r="M19" i="1"/>
  <c r="N19" i="1"/>
  <c r="N15" i="1"/>
  <c r="M15" i="1"/>
  <c r="N9" i="1"/>
  <c r="M9" i="1"/>
  <c r="N323" i="1"/>
  <c r="M323" i="1"/>
  <c r="M307" i="1"/>
  <c r="N307" i="1"/>
  <c r="N295" i="1"/>
  <c r="M295" i="1"/>
  <c r="N283" i="1"/>
  <c r="M283" i="1"/>
  <c r="M267" i="1"/>
  <c r="N267" i="1"/>
  <c r="M251" i="1"/>
  <c r="N251" i="1"/>
  <c r="N322" i="1"/>
  <c r="M322" i="1"/>
  <c r="N310" i="1"/>
  <c r="M310" i="1"/>
  <c r="N306" i="1"/>
  <c r="M306" i="1"/>
  <c r="M302" i="1"/>
  <c r="N302" i="1"/>
  <c r="M298" i="1"/>
  <c r="N298" i="1"/>
  <c r="N294" i="1"/>
  <c r="M294" i="1"/>
  <c r="M290" i="1"/>
  <c r="N290" i="1"/>
  <c r="N286" i="1"/>
  <c r="M286" i="1"/>
  <c r="N282" i="1"/>
  <c r="M282" i="1"/>
  <c r="N278" i="1"/>
  <c r="M278" i="1"/>
  <c r="N274" i="1"/>
  <c r="M274" i="1"/>
  <c r="M270" i="1"/>
  <c r="N270" i="1"/>
  <c r="N266" i="1"/>
  <c r="M266" i="1"/>
  <c r="M262" i="1"/>
  <c r="N262" i="1"/>
  <c r="N258" i="1"/>
  <c r="M258" i="1"/>
  <c r="M254" i="1"/>
  <c r="N254" i="1"/>
  <c r="N250" i="1"/>
  <c r="M250" i="1"/>
  <c r="M246" i="1"/>
  <c r="N246" i="1"/>
  <c r="N242" i="1"/>
  <c r="M242" i="1"/>
  <c r="M238" i="1"/>
  <c r="N238" i="1"/>
  <c r="N234" i="1"/>
  <c r="M234" i="1"/>
  <c r="M230" i="1"/>
  <c r="N230" i="1"/>
  <c r="N226" i="1"/>
  <c r="M226" i="1"/>
  <c r="M222" i="1"/>
  <c r="N222" i="1"/>
  <c r="N218" i="1"/>
  <c r="M218" i="1"/>
  <c r="M214" i="1"/>
  <c r="N214" i="1"/>
  <c r="N210" i="1"/>
  <c r="M210" i="1"/>
  <c r="M206" i="1"/>
  <c r="N206" i="1"/>
  <c r="N202" i="1"/>
  <c r="M202" i="1"/>
  <c r="M198" i="1"/>
  <c r="N198" i="1"/>
  <c r="N194" i="1"/>
  <c r="M194" i="1"/>
  <c r="M190" i="1"/>
  <c r="N190" i="1"/>
  <c r="N186" i="1"/>
  <c r="M186" i="1"/>
  <c r="M182" i="1"/>
  <c r="N182" i="1"/>
  <c r="N178" i="1"/>
  <c r="M178" i="1"/>
  <c r="M174" i="1"/>
  <c r="N174" i="1"/>
  <c r="M170" i="1"/>
  <c r="N170" i="1"/>
  <c r="N166" i="1"/>
  <c r="M166" i="1"/>
  <c r="N162" i="1"/>
  <c r="M162" i="1"/>
  <c r="M158" i="1"/>
  <c r="N158" i="1"/>
  <c r="N154" i="1"/>
  <c r="M154" i="1"/>
  <c r="N150" i="1"/>
  <c r="M150" i="1"/>
  <c r="N146" i="1"/>
  <c r="M146" i="1"/>
  <c r="M142" i="1"/>
  <c r="N142" i="1"/>
  <c r="M138" i="1"/>
  <c r="N138" i="1"/>
  <c r="M134" i="1"/>
  <c r="N134" i="1"/>
  <c r="N130" i="1"/>
  <c r="M130" i="1"/>
  <c r="N126" i="1"/>
  <c r="M126" i="1"/>
  <c r="N122" i="1"/>
  <c r="M122" i="1"/>
  <c r="M118" i="1"/>
  <c r="N118" i="1"/>
  <c r="N114" i="1"/>
  <c r="M114" i="1"/>
  <c r="M110" i="1"/>
  <c r="N110" i="1"/>
  <c r="M106" i="1"/>
  <c r="N106" i="1"/>
  <c r="N102" i="1"/>
  <c r="M102" i="1"/>
  <c r="N98" i="1"/>
  <c r="M98" i="1"/>
  <c r="N94" i="1"/>
  <c r="M94" i="1"/>
  <c r="N90" i="1"/>
  <c r="M90" i="1"/>
  <c r="M86" i="1"/>
  <c r="N86" i="1"/>
  <c r="N82" i="1"/>
  <c r="M82" i="1"/>
  <c r="M78" i="1"/>
  <c r="N78" i="1"/>
  <c r="M74" i="1"/>
  <c r="N74" i="1"/>
  <c r="N70" i="1"/>
  <c r="M70" i="1"/>
  <c r="N66" i="1"/>
  <c r="M66" i="1"/>
  <c r="N62" i="1"/>
  <c r="M62" i="1"/>
  <c r="N58" i="1"/>
  <c r="M58" i="1"/>
  <c r="M54" i="1"/>
  <c r="N54" i="1"/>
  <c r="N50" i="1"/>
  <c r="M50" i="1"/>
  <c r="M46" i="1"/>
  <c r="N46" i="1"/>
  <c r="M42" i="1"/>
  <c r="N42" i="1"/>
  <c r="N38" i="1"/>
  <c r="M38" i="1"/>
  <c r="N34" i="1"/>
  <c r="M34" i="1"/>
  <c r="M30" i="1"/>
  <c r="N30" i="1"/>
  <c r="N26" i="1"/>
  <c r="M26" i="1"/>
  <c r="N22" i="1"/>
  <c r="M22" i="1"/>
  <c r="N18" i="1"/>
  <c r="M18" i="1"/>
  <c r="M14" i="1"/>
  <c r="N14" i="1"/>
  <c r="K8" i="1"/>
  <c r="K12" i="1"/>
  <c r="K4" i="1"/>
  <c r="J328" i="1"/>
  <c r="I328" i="1"/>
  <c r="K3" i="1"/>
  <c r="H328" i="1"/>
  <c r="K328" i="1" l="1"/>
  <c r="L332" i="1"/>
  <c r="O8" i="1"/>
  <c r="O4" i="1"/>
  <c r="O12" i="1"/>
  <c r="O3" i="1"/>
  <c r="N8" i="1"/>
  <c r="M8" i="1"/>
  <c r="N12" i="1"/>
  <c r="M12" i="1"/>
  <c r="N4" i="1"/>
  <c r="M4" i="1"/>
  <c r="N3" i="1"/>
  <c r="L334" i="1" s="1"/>
  <c r="M3" i="1"/>
  <c r="L335" i="1" l="1"/>
</calcChain>
</file>

<file path=xl/sharedStrings.xml><?xml version="1.0" encoding="utf-8"?>
<sst xmlns="http://schemas.openxmlformats.org/spreadsheetml/2006/main" count="2961" uniqueCount="1028">
  <si>
    <t>11</t>
  </si>
  <si>
    <t>0018</t>
  </si>
  <si>
    <t>Adair-Casey</t>
  </si>
  <si>
    <t>0027</t>
  </si>
  <si>
    <t>Adel-Desoto-Minburn</t>
  </si>
  <si>
    <t>07</t>
  </si>
  <si>
    <t>0009</t>
  </si>
  <si>
    <t>AGWSR</t>
  </si>
  <si>
    <t>13</t>
  </si>
  <si>
    <t>0441</t>
  </si>
  <si>
    <t>AHSTW</t>
  </si>
  <si>
    <t>12</t>
  </si>
  <si>
    <t>0063</t>
  </si>
  <si>
    <t>Akron-Westfield</t>
  </si>
  <si>
    <t>05</t>
  </si>
  <si>
    <t>0072</t>
  </si>
  <si>
    <t>Albert City-Truesdale</t>
  </si>
  <si>
    <t>15</t>
  </si>
  <si>
    <t>0081</t>
  </si>
  <si>
    <t>Albia</t>
  </si>
  <si>
    <t>10</t>
  </si>
  <si>
    <t>0099</t>
  </si>
  <si>
    <t>Alburnett</t>
  </si>
  <si>
    <t>0108</t>
  </si>
  <si>
    <t>Alden</t>
  </si>
  <si>
    <t>0126</t>
  </si>
  <si>
    <t>Algona</t>
  </si>
  <si>
    <t>6417</t>
  </si>
  <si>
    <t>01</t>
  </si>
  <si>
    <t>0135</t>
  </si>
  <si>
    <t>Allamakee</t>
  </si>
  <si>
    <t>0171</t>
  </si>
  <si>
    <t>Alta-Aurelia</t>
  </si>
  <si>
    <t>0225</t>
  </si>
  <si>
    <t>Ames</t>
  </si>
  <si>
    <t>0234</t>
  </si>
  <si>
    <t>Anamosa</t>
  </si>
  <si>
    <t>09</t>
  </si>
  <si>
    <t>0243</t>
  </si>
  <si>
    <t>Andrew</t>
  </si>
  <si>
    <t>0261</t>
  </si>
  <si>
    <t>Ankeny</t>
  </si>
  <si>
    <t>0279</t>
  </si>
  <si>
    <t>Aplington-Parkersburg</t>
  </si>
  <si>
    <t>0355</t>
  </si>
  <si>
    <t>Ar-We-Va</t>
  </si>
  <si>
    <t>0387</t>
  </si>
  <si>
    <t>Atlantic</t>
  </si>
  <si>
    <t>0414</t>
  </si>
  <si>
    <t>Audubon</t>
  </si>
  <si>
    <t>0472</t>
  </si>
  <si>
    <t>Ballard</t>
  </si>
  <si>
    <t>0513</t>
  </si>
  <si>
    <t>Baxter</t>
  </si>
  <si>
    <t>0540</t>
  </si>
  <si>
    <t>BCLUW</t>
  </si>
  <si>
    <t>0549</t>
  </si>
  <si>
    <t>Bedford</t>
  </si>
  <si>
    <t>0576</t>
  </si>
  <si>
    <t>Belle Plaine</t>
  </si>
  <si>
    <t>0585</t>
  </si>
  <si>
    <t>Bellevue</t>
  </si>
  <si>
    <t>0594</t>
  </si>
  <si>
    <t>Belmond-Klemme</t>
  </si>
  <si>
    <t>0603</t>
  </si>
  <si>
    <t>Bennett</t>
  </si>
  <si>
    <t>0609</t>
  </si>
  <si>
    <t>Benton</t>
  </si>
  <si>
    <t>0621</t>
  </si>
  <si>
    <t>Bettendorf</t>
  </si>
  <si>
    <t>0720</t>
  </si>
  <si>
    <t>Bondurant-Farrar</t>
  </si>
  <si>
    <t>0729</t>
  </si>
  <si>
    <t>Boone</t>
  </si>
  <si>
    <t>0747</t>
  </si>
  <si>
    <t>Boyden-Hull</t>
  </si>
  <si>
    <t>1917</t>
  </si>
  <si>
    <t>Boyer Valley</t>
  </si>
  <si>
    <t>0846</t>
  </si>
  <si>
    <t>Brooklyn-Guernsey-Malcom</t>
  </si>
  <si>
    <t>0882</t>
  </si>
  <si>
    <t>Burlington</t>
  </si>
  <si>
    <t>0916</t>
  </si>
  <si>
    <t>CAL</t>
  </si>
  <si>
    <t>0918</t>
  </si>
  <si>
    <t>Calamus-Wheatland</t>
  </si>
  <si>
    <t>0914</t>
  </si>
  <si>
    <t>CAM</t>
  </si>
  <si>
    <t>0936</t>
  </si>
  <si>
    <t>Camanche</t>
  </si>
  <si>
    <t>0977</t>
  </si>
  <si>
    <t>Cardinal</t>
  </si>
  <si>
    <t>0981</t>
  </si>
  <si>
    <t>Carlisle</t>
  </si>
  <si>
    <t>0999</t>
  </si>
  <si>
    <t>Carroll</t>
  </si>
  <si>
    <t>1044</t>
  </si>
  <si>
    <t>Cedar Falls</t>
  </si>
  <si>
    <t>1053</t>
  </si>
  <si>
    <t>Cedar Rapids</t>
  </si>
  <si>
    <t>1062</t>
  </si>
  <si>
    <t>Center Point-Urbana</t>
  </si>
  <si>
    <t>1071</t>
  </si>
  <si>
    <t>Centerville</t>
  </si>
  <si>
    <t>1089</t>
  </si>
  <si>
    <t>Central City</t>
  </si>
  <si>
    <t>1080</t>
  </si>
  <si>
    <t>Central Clayton</t>
  </si>
  <si>
    <t>1082</t>
  </si>
  <si>
    <t>Central De Witt</t>
  </si>
  <si>
    <t>1093</t>
  </si>
  <si>
    <t>Central Decatur</t>
  </si>
  <si>
    <t>1079</t>
  </si>
  <si>
    <t>Central Lee</t>
  </si>
  <si>
    <t>1095</t>
  </si>
  <si>
    <t>Central Lyon</t>
  </si>
  <si>
    <t>4772</t>
  </si>
  <si>
    <t>Central Springs</t>
  </si>
  <si>
    <t>1107</t>
  </si>
  <si>
    <t>Chariton</t>
  </si>
  <si>
    <t>1116</t>
  </si>
  <si>
    <t>Charles City</t>
  </si>
  <si>
    <t>1134</t>
  </si>
  <si>
    <t>Charter Oak-Ute</t>
  </si>
  <si>
    <t>1152</t>
  </si>
  <si>
    <t>Cherokee</t>
  </si>
  <si>
    <t>1197</t>
  </si>
  <si>
    <t>Clarinda</t>
  </si>
  <si>
    <t>1206</t>
  </si>
  <si>
    <t>Clarion-Goldfield-Dows</t>
  </si>
  <si>
    <t>1854</t>
  </si>
  <si>
    <t>1211</t>
  </si>
  <si>
    <t>Clarke</t>
  </si>
  <si>
    <t>1215</t>
  </si>
  <si>
    <t>Clarksville</t>
  </si>
  <si>
    <t>1218</t>
  </si>
  <si>
    <t>Clay Central-Everly</t>
  </si>
  <si>
    <t>2763</t>
  </si>
  <si>
    <t>Clayton Ridge</t>
  </si>
  <si>
    <t>1221</t>
  </si>
  <si>
    <t>Clear Creek-Amana</t>
  </si>
  <si>
    <t>0216</t>
  </si>
  <si>
    <t>1233</t>
  </si>
  <si>
    <t>Clear Lake</t>
  </si>
  <si>
    <t>1278</t>
  </si>
  <si>
    <t>Clinton</t>
  </si>
  <si>
    <t>1332</t>
  </si>
  <si>
    <t>Colfax-Mingo</t>
  </si>
  <si>
    <t>1337</t>
  </si>
  <si>
    <t>College Community</t>
  </si>
  <si>
    <t>1350</t>
  </si>
  <si>
    <t>Collins-Maxwell</t>
  </si>
  <si>
    <t>1359</t>
  </si>
  <si>
    <t>Colo-Nesco</t>
  </si>
  <si>
    <t>1368</t>
  </si>
  <si>
    <t>Columbus</t>
  </si>
  <si>
    <t>1413</t>
  </si>
  <si>
    <t>Coon Rapids-Bayard</t>
  </si>
  <si>
    <t>1431</t>
  </si>
  <si>
    <t>Corning</t>
  </si>
  <si>
    <t>1476</t>
  </si>
  <si>
    <t>Council Bluffs</t>
  </si>
  <si>
    <t>1503</t>
  </si>
  <si>
    <t>Creston</t>
  </si>
  <si>
    <t>1576</t>
  </si>
  <si>
    <t>Dallas Center-Grimes</t>
  </si>
  <si>
    <t>1602</t>
  </si>
  <si>
    <t>Danville</t>
  </si>
  <si>
    <t>1611</t>
  </si>
  <si>
    <t>Davenport</t>
  </si>
  <si>
    <t>1619</t>
  </si>
  <si>
    <t>Davis County</t>
  </si>
  <si>
    <t>1638</t>
  </si>
  <si>
    <t>Decorah</t>
  </si>
  <si>
    <t>1675</t>
  </si>
  <si>
    <t>Delwood</t>
  </si>
  <si>
    <t>1701</t>
  </si>
  <si>
    <t>Denison</t>
  </si>
  <si>
    <t>1719</t>
  </si>
  <si>
    <t>Denver</t>
  </si>
  <si>
    <t>1737</t>
  </si>
  <si>
    <t>Des Moines</t>
  </si>
  <si>
    <t>1782</t>
  </si>
  <si>
    <t>Diagonal</t>
  </si>
  <si>
    <t>1791</t>
  </si>
  <si>
    <t>Dike-New Hartford</t>
  </si>
  <si>
    <t>1863</t>
  </si>
  <si>
    <t>Dubuque</t>
  </si>
  <si>
    <t>1908</t>
  </si>
  <si>
    <t>Dunkerton</t>
  </si>
  <si>
    <t>1926</t>
  </si>
  <si>
    <t>Durant</t>
  </si>
  <si>
    <t>1944</t>
  </si>
  <si>
    <t>Eagle Grove</t>
  </si>
  <si>
    <t>1953</t>
  </si>
  <si>
    <t>Earlham</t>
  </si>
  <si>
    <t>1963</t>
  </si>
  <si>
    <t>East Buchanan</t>
  </si>
  <si>
    <t>3582</t>
  </si>
  <si>
    <t>1968</t>
  </si>
  <si>
    <t>East Marshall</t>
  </si>
  <si>
    <t>3978</t>
  </si>
  <si>
    <t>East Mills</t>
  </si>
  <si>
    <t>6741</t>
  </si>
  <si>
    <t>East Sac County</t>
  </si>
  <si>
    <t>1970</t>
  </si>
  <si>
    <t>East Union</t>
  </si>
  <si>
    <t>1972</t>
  </si>
  <si>
    <t>Eastern Allamakee</t>
  </si>
  <si>
    <t>1965</t>
  </si>
  <si>
    <t>Easton Valley</t>
  </si>
  <si>
    <t>0657</t>
  </si>
  <si>
    <t>Eddyville-Blakesburg-Fremont</t>
  </si>
  <si>
    <t>1989</t>
  </si>
  <si>
    <t>Edgewood-Colesburg</t>
  </si>
  <si>
    <t>2007</t>
  </si>
  <si>
    <t>Eldora-New Providence</t>
  </si>
  <si>
    <t>2088</t>
  </si>
  <si>
    <t>Emmetsburg</t>
  </si>
  <si>
    <t>2097</t>
  </si>
  <si>
    <t>English Valleys</t>
  </si>
  <si>
    <t>2113</t>
  </si>
  <si>
    <t>Essex</t>
  </si>
  <si>
    <t>2124</t>
  </si>
  <si>
    <t>Estherville-Lincoln Central</t>
  </si>
  <si>
    <t>2151</t>
  </si>
  <si>
    <t>Exira-Elk Horn-Kimballton</t>
  </si>
  <si>
    <t>2169</t>
  </si>
  <si>
    <t>Fairfield</t>
  </si>
  <si>
    <t>2295</t>
  </si>
  <si>
    <t>Forest City</t>
  </si>
  <si>
    <t>2313</t>
  </si>
  <si>
    <t>Fort Dodge</t>
  </si>
  <si>
    <t>2322</t>
  </si>
  <si>
    <t>Fort Madison</t>
  </si>
  <si>
    <t>2369</t>
  </si>
  <si>
    <t>Fremont-Mills</t>
  </si>
  <si>
    <t>2376</t>
  </si>
  <si>
    <t>Galva-Holstein</t>
  </si>
  <si>
    <t>2403</t>
  </si>
  <si>
    <t>Garner-Hayfield-Ventura</t>
  </si>
  <si>
    <t>2457</t>
  </si>
  <si>
    <t>George-Little Rock</t>
  </si>
  <si>
    <t>2466</t>
  </si>
  <si>
    <t>Gilbert</t>
  </si>
  <si>
    <t>2493</t>
  </si>
  <si>
    <t>Gilmore City-Bradgate</t>
  </si>
  <si>
    <t>2502</t>
  </si>
  <si>
    <t>Gladbrook-Reinbeck</t>
  </si>
  <si>
    <t>2511</t>
  </si>
  <si>
    <t>Glenwood</t>
  </si>
  <si>
    <t>2520</t>
  </si>
  <si>
    <t>Glidden-Ralston</t>
  </si>
  <si>
    <t>2682</t>
  </si>
  <si>
    <t>GMG</t>
  </si>
  <si>
    <t>2556</t>
  </si>
  <si>
    <t>Graettinger-Terril</t>
  </si>
  <si>
    <t>3195</t>
  </si>
  <si>
    <t>Greene County</t>
  </si>
  <si>
    <t>2709</t>
  </si>
  <si>
    <t>Grinnell-Newburg</t>
  </si>
  <si>
    <t>2718</t>
  </si>
  <si>
    <t>Griswold</t>
  </si>
  <si>
    <t>2727</t>
  </si>
  <si>
    <t>Grundy Center</t>
  </si>
  <si>
    <t>2754</t>
  </si>
  <si>
    <t>Guthrie Center</t>
  </si>
  <si>
    <t>2772</t>
  </si>
  <si>
    <t>Hamburg</t>
  </si>
  <si>
    <t>2781</t>
  </si>
  <si>
    <t>Hampton-Dumont</t>
  </si>
  <si>
    <t>2826</t>
  </si>
  <si>
    <t>Harlan</t>
  </si>
  <si>
    <t>2846</t>
  </si>
  <si>
    <t>Harris-Lake Park</t>
  </si>
  <si>
    <t>2862</t>
  </si>
  <si>
    <t>Hartley-Melvin-Sanborn</t>
  </si>
  <si>
    <t>2977</t>
  </si>
  <si>
    <t>Highland</t>
  </si>
  <si>
    <t>2988</t>
  </si>
  <si>
    <t>Hinton</t>
  </si>
  <si>
    <t>2766</t>
  </si>
  <si>
    <t>HLV</t>
  </si>
  <si>
    <t>3029</t>
  </si>
  <si>
    <t>Howard-Winneshiek</t>
  </si>
  <si>
    <t>3033</t>
  </si>
  <si>
    <t>Hubbard-Radcliffe</t>
  </si>
  <si>
    <t>3042</t>
  </si>
  <si>
    <t>Hudson</t>
  </si>
  <si>
    <t>3060</t>
  </si>
  <si>
    <t>Humboldt</t>
  </si>
  <si>
    <t>3168</t>
  </si>
  <si>
    <t>3105</t>
  </si>
  <si>
    <t>Independence</t>
  </si>
  <si>
    <t>3114</t>
  </si>
  <si>
    <t>Indianola</t>
  </si>
  <si>
    <t>3119</t>
  </si>
  <si>
    <t>Interstate 35</t>
  </si>
  <si>
    <t>3141</t>
  </si>
  <si>
    <t>Iowa City</t>
  </si>
  <si>
    <t>3150</t>
  </si>
  <si>
    <t>Iowa Falls</t>
  </si>
  <si>
    <t>3154</t>
  </si>
  <si>
    <t>Iowa Valley</t>
  </si>
  <si>
    <t>3186</t>
  </si>
  <si>
    <t>Janesville</t>
  </si>
  <si>
    <t>3204</t>
  </si>
  <si>
    <t>Jesup</t>
  </si>
  <si>
    <t>3231</t>
  </si>
  <si>
    <t>Johnston</t>
  </si>
  <si>
    <t>3312</t>
  </si>
  <si>
    <t>Keokuk</t>
  </si>
  <si>
    <t>3330</t>
  </si>
  <si>
    <t>Keota</t>
  </si>
  <si>
    <t>3348</t>
  </si>
  <si>
    <t>Kingsley-Pierson</t>
  </si>
  <si>
    <t>3375</t>
  </si>
  <si>
    <t>Knoxville</t>
  </si>
  <si>
    <t>3420</t>
  </si>
  <si>
    <t>Lake Mills</t>
  </si>
  <si>
    <t>3465</t>
  </si>
  <si>
    <t>Lamoni</t>
  </si>
  <si>
    <t>3537</t>
  </si>
  <si>
    <t>Laurens-Marathon</t>
  </si>
  <si>
    <t>3555</t>
  </si>
  <si>
    <t>Lawton-Bronson</t>
  </si>
  <si>
    <t>3600</t>
  </si>
  <si>
    <t>Le Mars</t>
  </si>
  <si>
    <t>3609</t>
  </si>
  <si>
    <t>Lenox</t>
  </si>
  <si>
    <t>3645</t>
  </si>
  <si>
    <t>Lewis Central</t>
  </si>
  <si>
    <t>3715</t>
  </si>
  <si>
    <t>Linn-Mar</t>
  </si>
  <si>
    <t>3744</t>
  </si>
  <si>
    <t>Lisbon</t>
  </si>
  <si>
    <t>3798</t>
  </si>
  <si>
    <t>Logan-Magnolia</t>
  </si>
  <si>
    <t>3816</t>
  </si>
  <si>
    <t>Lone Tree</t>
  </si>
  <si>
    <t>3841</t>
  </si>
  <si>
    <t>Louisa-Muscatine</t>
  </si>
  <si>
    <t>3897</t>
  </si>
  <si>
    <t>3906</t>
  </si>
  <si>
    <t>Lynnville-Sully</t>
  </si>
  <si>
    <t>3942</t>
  </si>
  <si>
    <t>Madrid</t>
  </si>
  <si>
    <t>4023</t>
  </si>
  <si>
    <t>Manson-Northwest Webster</t>
  </si>
  <si>
    <t>4033</t>
  </si>
  <si>
    <t>Maple Valley-Anthon Oto</t>
  </si>
  <si>
    <t>4041</t>
  </si>
  <si>
    <t>Maquoketa</t>
  </si>
  <si>
    <t>4043</t>
  </si>
  <si>
    <t>Maquoketa Valley</t>
  </si>
  <si>
    <t>4068</t>
  </si>
  <si>
    <t>Marcus-Meriden Cleghorn</t>
  </si>
  <si>
    <t>4086</t>
  </si>
  <si>
    <t>Marion</t>
  </si>
  <si>
    <t>4104</t>
  </si>
  <si>
    <t>Marshalltown</t>
  </si>
  <si>
    <t>4122</t>
  </si>
  <si>
    <t>Martensdale-St Marys</t>
  </si>
  <si>
    <t>4131</t>
  </si>
  <si>
    <t>Mason City</t>
  </si>
  <si>
    <t>4203</t>
  </si>
  <si>
    <t>Mediapolis</t>
  </si>
  <si>
    <t>4212</t>
  </si>
  <si>
    <t>Melcher-Dallas</t>
  </si>
  <si>
    <t>4419</t>
  </si>
  <si>
    <t>MFL Mar Mac</t>
  </si>
  <si>
    <t>4269</t>
  </si>
  <si>
    <t>Midland</t>
  </si>
  <si>
    <t>4271</t>
  </si>
  <si>
    <t>Mid-Prairie</t>
  </si>
  <si>
    <t>4356</t>
  </si>
  <si>
    <t>Missouri Valley</t>
  </si>
  <si>
    <t>4149</t>
  </si>
  <si>
    <t>Moc-Floyd Valley</t>
  </si>
  <si>
    <t>4437</t>
  </si>
  <si>
    <t>Montezuma</t>
  </si>
  <si>
    <t>4446</t>
  </si>
  <si>
    <t>Monticello</t>
  </si>
  <si>
    <t>4491</t>
  </si>
  <si>
    <t>Moravia</t>
  </si>
  <si>
    <t>4505</t>
  </si>
  <si>
    <t>Mormon Trail</t>
  </si>
  <si>
    <t>4509</t>
  </si>
  <si>
    <t>Morning Sun</t>
  </si>
  <si>
    <t>4518</t>
  </si>
  <si>
    <t>Moulton-Udell</t>
  </si>
  <si>
    <t>4527</t>
  </si>
  <si>
    <t>Mount Ayr</t>
  </si>
  <si>
    <t>4536</t>
  </si>
  <si>
    <t>Mount Pleasant</t>
  </si>
  <si>
    <t>4554</t>
  </si>
  <si>
    <t>Mount Vernon</t>
  </si>
  <si>
    <t>4572</t>
  </si>
  <si>
    <t>Murray</t>
  </si>
  <si>
    <t>4581</t>
  </si>
  <si>
    <t>Muscatine</t>
  </si>
  <si>
    <t>4599</t>
  </si>
  <si>
    <t>Nashua-Plainfield</t>
  </si>
  <si>
    <t>4617</t>
  </si>
  <si>
    <t>Nevada</t>
  </si>
  <si>
    <t>4662</t>
  </si>
  <si>
    <t>New Hampton</t>
  </si>
  <si>
    <t>4689</t>
  </si>
  <si>
    <t>New London</t>
  </si>
  <si>
    <t>4644</t>
  </si>
  <si>
    <t>Newell-Fonda</t>
  </si>
  <si>
    <t>4725</t>
  </si>
  <si>
    <t>Newton</t>
  </si>
  <si>
    <t>2673</t>
  </si>
  <si>
    <t>Nodaway Valley</t>
  </si>
  <si>
    <t>0153</t>
  </si>
  <si>
    <t>North Butler</t>
  </si>
  <si>
    <t>3691</t>
  </si>
  <si>
    <t>North Cedar</t>
  </si>
  <si>
    <t>4774</t>
  </si>
  <si>
    <t>North Fayette Valley</t>
  </si>
  <si>
    <t>0873</t>
  </si>
  <si>
    <t>North Iowa</t>
  </si>
  <si>
    <t>4778</t>
  </si>
  <si>
    <t>North Kossuth</t>
  </si>
  <si>
    <t>4777</t>
  </si>
  <si>
    <t>North Linn</t>
  </si>
  <si>
    <t>4776</t>
  </si>
  <si>
    <t>North Mahaska</t>
  </si>
  <si>
    <t>4779</t>
  </si>
  <si>
    <t>North Polk</t>
  </si>
  <si>
    <t>4784</t>
  </si>
  <si>
    <t>North Scott</t>
  </si>
  <si>
    <t>4785</t>
  </si>
  <si>
    <t>North Tama</t>
  </si>
  <si>
    <t>0333</t>
  </si>
  <si>
    <t>North Union</t>
  </si>
  <si>
    <t>4773</t>
  </si>
  <si>
    <t>Northeast</t>
  </si>
  <si>
    <t>4775</t>
  </si>
  <si>
    <t>4788</t>
  </si>
  <si>
    <t>Northwood-Kensett</t>
  </si>
  <si>
    <t>4797</t>
  </si>
  <si>
    <t>Norwalk</t>
  </si>
  <si>
    <t>4860</t>
  </si>
  <si>
    <t>Odebolt Arthur Battle Creek Ida Grove</t>
  </si>
  <si>
    <t>4869</t>
  </si>
  <si>
    <t>Oelwein</t>
  </si>
  <si>
    <t>4878</t>
  </si>
  <si>
    <t>Ogden</t>
  </si>
  <si>
    <t>4890</t>
  </si>
  <si>
    <t>Okoboji</t>
  </si>
  <si>
    <t>4905</t>
  </si>
  <si>
    <t>Olin</t>
  </si>
  <si>
    <t>4978</t>
  </si>
  <si>
    <t>Orient-Macksburg</t>
  </si>
  <si>
    <t>4995</t>
  </si>
  <si>
    <t>Osage</t>
  </si>
  <si>
    <t>5013</t>
  </si>
  <si>
    <t>Oskaloosa</t>
  </si>
  <si>
    <t>5049</t>
  </si>
  <si>
    <t>Ottumwa</t>
  </si>
  <si>
    <t>5121</t>
  </si>
  <si>
    <t>Panorama</t>
  </si>
  <si>
    <t>5139</t>
  </si>
  <si>
    <t>Paton-Churdan</t>
  </si>
  <si>
    <t>5319</t>
  </si>
  <si>
    <t>5160</t>
  </si>
  <si>
    <t>PCM</t>
  </si>
  <si>
    <t>5163</t>
  </si>
  <si>
    <t>Pekin</t>
  </si>
  <si>
    <t>5166</t>
  </si>
  <si>
    <t>Pella</t>
  </si>
  <si>
    <t>5184</t>
  </si>
  <si>
    <t>Perry</t>
  </si>
  <si>
    <t>5250</t>
  </si>
  <si>
    <t>Pleasant Valley</t>
  </si>
  <si>
    <t>5256</t>
  </si>
  <si>
    <t>Pleasantville</t>
  </si>
  <si>
    <t>5283</t>
  </si>
  <si>
    <t>Pocahontas Area</t>
  </si>
  <si>
    <t>5310</t>
  </si>
  <si>
    <t>Postville</t>
  </si>
  <si>
    <t>5323</t>
  </si>
  <si>
    <t>5463</t>
  </si>
  <si>
    <t>Red Oak</t>
  </si>
  <si>
    <t>5486</t>
  </si>
  <si>
    <t>Remsen-Union</t>
  </si>
  <si>
    <t>5508</t>
  </si>
  <si>
    <t>Riceville</t>
  </si>
  <si>
    <t>1975</t>
  </si>
  <si>
    <t>River Valley</t>
  </si>
  <si>
    <t>4824</t>
  </si>
  <si>
    <t>5510</t>
  </si>
  <si>
    <t>Riverside</t>
  </si>
  <si>
    <t>5607</t>
  </si>
  <si>
    <t>Rock Valley</t>
  </si>
  <si>
    <t>5643</t>
  </si>
  <si>
    <t>Roland-Story</t>
  </si>
  <si>
    <t>5697</t>
  </si>
  <si>
    <t>Rudd-Rockford-Marble Rock</t>
  </si>
  <si>
    <t>5724</t>
  </si>
  <si>
    <t>Ruthven-Ayrshire</t>
  </si>
  <si>
    <t>5805</t>
  </si>
  <si>
    <t>Saydel</t>
  </si>
  <si>
    <t>5823</t>
  </si>
  <si>
    <t>Schaller-Crestland</t>
  </si>
  <si>
    <t>5832</t>
  </si>
  <si>
    <t>Schleswig</t>
  </si>
  <si>
    <t>5877</t>
  </si>
  <si>
    <t>Sergeant Bluff-Luton</t>
  </si>
  <si>
    <t>5895</t>
  </si>
  <si>
    <t>Seymour</t>
  </si>
  <si>
    <t>5949</t>
  </si>
  <si>
    <t>Sheldon</t>
  </si>
  <si>
    <t>5976</t>
  </si>
  <si>
    <t>Shenandoah</t>
  </si>
  <si>
    <t>5994</t>
  </si>
  <si>
    <t>Sibley-Ocheyedan</t>
  </si>
  <si>
    <t>6003</t>
  </si>
  <si>
    <t>Sidney</t>
  </si>
  <si>
    <t>6012</t>
  </si>
  <si>
    <t>Sigourney</t>
  </si>
  <si>
    <t>6030</t>
  </si>
  <si>
    <t>Sioux Center</t>
  </si>
  <si>
    <t>6048</t>
  </si>
  <si>
    <t>6035</t>
  </si>
  <si>
    <t>Sioux Central</t>
  </si>
  <si>
    <t>6039</t>
  </si>
  <si>
    <t>Sioux City</t>
  </si>
  <si>
    <t>6093</t>
  </si>
  <si>
    <t>Solon</t>
  </si>
  <si>
    <t>6091</t>
  </si>
  <si>
    <t>South Central Calhoun</t>
  </si>
  <si>
    <t>6095</t>
  </si>
  <si>
    <t>South Hamilton</t>
  </si>
  <si>
    <t>5157</t>
  </si>
  <si>
    <t>6099</t>
  </si>
  <si>
    <t>South O'Brien</t>
  </si>
  <si>
    <t>6097</t>
  </si>
  <si>
    <t>South Page</t>
  </si>
  <si>
    <t>6098</t>
  </si>
  <si>
    <t>South Tama</t>
  </si>
  <si>
    <t>6100</t>
  </si>
  <si>
    <t>South Winneshiek</t>
  </si>
  <si>
    <t>6101</t>
  </si>
  <si>
    <t>Southeast Polk</t>
  </si>
  <si>
    <t>6094</t>
  </si>
  <si>
    <t>Southeast Warren</t>
  </si>
  <si>
    <t>6096</t>
  </si>
  <si>
    <t>6102</t>
  </si>
  <si>
    <t>Spencer</t>
  </si>
  <si>
    <t>6120</t>
  </si>
  <si>
    <t>Spirit Lake</t>
  </si>
  <si>
    <t>6138</t>
  </si>
  <si>
    <t>Springville</t>
  </si>
  <si>
    <t>5751</t>
  </si>
  <si>
    <t>St Ansgar</t>
  </si>
  <si>
    <t>6165</t>
  </si>
  <si>
    <t>Stanton</t>
  </si>
  <si>
    <t>6175</t>
  </si>
  <si>
    <t>Starmont</t>
  </si>
  <si>
    <t>6219</t>
  </si>
  <si>
    <t>Storm Lake</t>
  </si>
  <si>
    <t>6246</t>
  </si>
  <si>
    <t>Stratford</t>
  </si>
  <si>
    <t>6273</t>
  </si>
  <si>
    <t>Sumner-Fredericksburg</t>
  </si>
  <si>
    <t>6408</t>
  </si>
  <si>
    <t>Tipton</t>
  </si>
  <si>
    <t>6453</t>
  </si>
  <si>
    <t>Treynor</t>
  </si>
  <si>
    <t>6460</t>
  </si>
  <si>
    <t>Tri-Center</t>
  </si>
  <si>
    <t>6462</t>
  </si>
  <si>
    <t>Tri-County</t>
  </si>
  <si>
    <t>6471</t>
  </si>
  <si>
    <t>Tripoli</t>
  </si>
  <si>
    <t>6509</t>
  </si>
  <si>
    <t>Turkey Valley</t>
  </si>
  <si>
    <t>6512</t>
  </si>
  <si>
    <t>Twin Cedars</t>
  </si>
  <si>
    <t>6516</t>
  </si>
  <si>
    <t>Twin Rivers</t>
  </si>
  <si>
    <t>6534</t>
  </si>
  <si>
    <t>Underwood</t>
  </si>
  <si>
    <t>1935</t>
  </si>
  <si>
    <t>6536</t>
  </si>
  <si>
    <t>Union</t>
  </si>
  <si>
    <t>6561</t>
  </si>
  <si>
    <t>United</t>
  </si>
  <si>
    <t>6579</t>
  </si>
  <si>
    <t>Urbandale</t>
  </si>
  <si>
    <t>6592</t>
  </si>
  <si>
    <t>6615</t>
  </si>
  <si>
    <t>Van Meter</t>
  </si>
  <si>
    <t>6651</t>
  </si>
  <si>
    <t>Villisca</t>
  </si>
  <si>
    <t>6660</t>
  </si>
  <si>
    <t>Vinton-Shellsburg</t>
  </si>
  <si>
    <t>6700</t>
  </si>
  <si>
    <t>Waco</t>
  </si>
  <si>
    <t>6759</t>
  </si>
  <si>
    <t>Wapello</t>
  </si>
  <si>
    <t>6762</t>
  </si>
  <si>
    <t>Wapsie Valley</t>
  </si>
  <si>
    <t>6768</t>
  </si>
  <si>
    <t>Washington</t>
  </si>
  <si>
    <t>6795</t>
  </si>
  <si>
    <t>Waterloo</t>
  </si>
  <si>
    <t>6822</t>
  </si>
  <si>
    <t>Waukee</t>
  </si>
  <si>
    <t>6840</t>
  </si>
  <si>
    <t>Waverly-Shell Rock</t>
  </si>
  <si>
    <t>6854</t>
  </si>
  <si>
    <t>Wayne</t>
  </si>
  <si>
    <t>6867</t>
  </si>
  <si>
    <t>Webster City</t>
  </si>
  <si>
    <t>6921</t>
  </si>
  <si>
    <t>West Bend-Mallard</t>
  </si>
  <si>
    <t>6930</t>
  </si>
  <si>
    <t>West Branch</t>
  </si>
  <si>
    <t>6937</t>
  </si>
  <si>
    <t>West Burlington</t>
  </si>
  <si>
    <t>6943</t>
  </si>
  <si>
    <t>West Central</t>
  </si>
  <si>
    <t>6264</t>
  </si>
  <si>
    <t>West Central Valley</t>
  </si>
  <si>
    <t>6950</t>
  </si>
  <si>
    <t>West Delaware Co</t>
  </si>
  <si>
    <t>6957</t>
  </si>
  <si>
    <t>West Des Moines</t>
  </si>
  <si>
    <t>5922</t>
  </si>
  <si>
    <t>West Fork</t>
  </si>
  <si>
    <t>0819</t>
  </si>
  <si>
    <t>West Hancock</t>
  </si>
  <si>
    <t>6969</t>
  </si>
  <si>
    <t>West Harrison</t>
  </si>
  <si>
    <t>6975</t>
  </si>
  <si>
    <t>West Liberty</t>
  </si>
  <si>
    <t>6983</t>
  </si>
  <si>
    <t>West Lyon</t>
  </si>
  <si>
    <t>6985</t>
  </si>
  <si>
    <t>West Marshall</t>
  </si>
  <si>
    <t>6987</t>
  </si>
  <si>
    <t>West Monona</t>
  </si>
  <si>
    <t>6990</t>
  </si>
  <si>
    <t>West Sioux</t>
  </si>
  <si>
    <t>6961</t>
  </si>
  <si>
    <t>Western Dubuque Co</t>
  </si>
  <si>
    <t>6992</t>
  </si>
  <si>
    <t>Westwood</t>
  </si>
  <si>
    <t>7002</t>
  </si>
  <si>
    <t>Whiting</t>
  </si>
  <si>
    <t>7029</t>
  </si>
  <si>
    <t>Williamsburg</t>
  </si>
  <si>
    <t>7038</t>
  </si>
  <si>
    <t>Wilton</t>
  </si>
  <si>
    <t>7047</t>
  </si>
  <si>
    <t>Winfield-Mt Union</t>
  </si>
  <si>
    <t>7056</t>
  </si>
  <si>
    <t>Winterset</t>
  </si>
  <si>
    <t>7092</t>
  </si>
  <si>
    <t>Woodbine</t>
  </si>
  <si>
    <t>7098</t>
  </si>
  <si>
    <t>Woodbury Central</t>
  </si>
  <si>
    <t>7110</t>
  </si>
  <si>
    <t>Woodward-Granger</t>
  </si>
  <si>
    <t>FiscalYear</t>
  </si>
  <si>
    <t>AEA</t>
  </si>
  <si>
    <t>Dist</t>
  </si>
  <si>
    <t>DistrictNumber</t>
  </si>
  <si>
    <t>DistSub1</t>
  </si>
  <si>
    <t>DistSub2</t>
  </si>
  <si>
    <t>Expenditures</t>
  </si>
  <si>
    <t>Miscellaneous Income</t>
  </si>
  <si>
    <t>Total Fund Balance</t>
  </si>
  <si>
    <t>IKM-Manning</t>
  </si>
  <si>
    <t>South Tama County</t>
  </si>
  <si>
    <t>20% of Expenditures</t>
  </si>
  <si>
    <t>Assigned and Unassigned Fund Balance</t>
  </si>
  <si>
    <t>Label</t>
  </si>
  <si>
    <t>Final Cash Reserve Levy</t>
  </si>
  <si>
    <t>Number of Districts unable to levy for Cash Reserve:</t>
  </si>
  <si>
    <t>Number of Districts Levying for Cash Reserve:</t>
  </si>
  <si>
    <t>Number of Districts Levying Maximum for Cash Reserve Levy:</t>
  </si>
  <si>
    <t>Number of Districts Not Levying for Cash Reserve but have the Ability:</t>
  </si>
  <si>
    <t/>
  </si>
  <si>
    <t>Van Buren County</t>
  </si>
  <si>
    <t>Fiscal Year</t>
  </si>
  <si>
    <t>Total Cash Reserve Levy</t>
  </si>
  <si>
    <t>Percent Change</t>
  </si>
  <si>
    <t>Levying Maximum Cash Reserve</t>
  </si>
  <si>
    <t>AGWSR Comm School District</t>
  </si>
  <si>
    <t>Adair-Casey Comm School District</t>
  </si>
  <si>
    <t>Adel DeSoto Minburn Comm School District</t>
  </si>
  <si>
    <t>Akron Westfield Comm School District</t>
  </si>
  <si>
    <t>Albert City-Truesdale Comm School District</t>
  </si>
  <si>
    <t>Albia Comm School District</t>
  </si>
  <si>
    <t>Alburnett Comm School District</t>
  </si>
  <si>
    <t>Alden Comm School District</t>
  </si>
  <si>
    <t>Algona Comm School District</t>
  </si>
  <si>
    <t>Allamakee Comm School District</t>
  </si>
  <si>
    <t>North Butler Comm School District</t>
  </si>
  <si>
    <t>Alta-Aurelia Comm School District</t>
  </si>
  <si>
    <t>Ames Comm School District</t>
  </si>
  <si>
    <t>Anamosa Comm School District</t>
  </si>
  <si>
    <t>Andrew Comm School District</t>
  </si>
  <si>
    <t>Ankeny Comm School District</t>
  </si>
  <si>
    <t>Aplington-Parkersburg Comm School District</t>
  </si>
  <si>
    <t>North Union Comm School District</t>
  </si>
  <si>
    <t>Ar-We-Va Comm School District</t>
  </si>
  <si>
    <t>Atlantic Comm School District</t>
  </si>
  <si>
    <t>Audubon Comm School District</t>
  </si>
  <si>
    <t>AHSTW Comm School District</t>
  </si>
  <si>
    <t>Ballard Comm School District</t>
  </si>
  <si>
    <t>Baxter Comm School District</t>
  </si>
  <si>
    <t>BCLUW Comm School District</t>
  </si>
  <si>
    <t>Bedford Comm School District</t>
  </si>
  <si>
    <t>Belle Plaine Comm School District</t>
  </si>
  <si>
    <t>Bellevue Comm School District</t>
  </si>
  <si>
    <t>Belmond-Klemme Comm School District</t>
  </si>
  <si>
    <t>Bennett Comm School District</t>
  </si>
  <si>
    <t>Benton Comm School District</t>
  </si>
  <si>
    <t>Bettendorf Comm School District</t>
  </si>
  <si>
    <t>Eddyville-Blakesburg- Fremont CSD</t>
  </si>
  <si>
    <t>Bondurant-Farrar Comm School District</t>
  </si>
  <si>
    <t>Boone Comm School District</t>
  </si>
  <si>
    <t>Boyden-Hull Comm School District</t>
  </si>
  <si>
    <t>West Hancock Comm School District</t>
  </si>
  <si>
    <t>Brooklyn-Guernsey-Malcom Comm School District</t>
  </si>
  <si>
    <t>North Iowa Comm School District</t>
  </si>
  <si>
    <t>Burlington Comm School District</t>
  </si>
  <si>
    <t>CAM Comm School District</t>
  </si>
  <si>
    <t>CAL Comm School District</t>
  </si>
  <si>
    <t>Calamus-Wheatland Comm School District</t>
  </si>
  <si>
    <t>Camanche Comm School District</t>
  </si>
  <si>
    <t>Cardinal Comm School District</t>
  </si>
  <si>
    <t>Carlisle Comm School District</t>
  </si>
  <si>
    <t>Carroll Comm School District</t>
  </si>
  <si>
    <t>Cedar Falls Comm School District</t>
  </si>
  <si>
    <t>Cedar Rapids Comm School District</t>
  </si>
  <si>
    <t>Center Point-Urbana Comm School District</t>
  </si>
  <si>
    <t>Centerville Comm School District</t>
  </si>
  <si>
    <t>Central Lee Comm School District</t>
  </si>
  <si>
    <t>Central Comm School District</t>
  </si>
  <si>
    <t>Central DeWitt School District</t>
  </si>
  <si>
    <t>Central City Comm School District</t>
  </si>
  <si>
    <t>Central Decatur Comm School District</t>
  </si>
  <si>
    <t>Central Lyon Comm School District</t>
  </si>
  <si>
    <t>Chariton Comm School District</t>
  </si>
  <si>
    <t>Charles City Comm School District</t>
  </si>
  <si>
    <t>Charter Oak-Ute Comm School District</t>
  </si>
  <si>
    <t>Cherokee Comm School District</t>
  </si>
  <si>
    <t>Clarinda Comm School District</t>
  </si>
  <si>
    <t>Clarion-Goldfield-Dows Comm School District</t>
  </si>
  <si>
    <t>Clarke Comm School District</t>
  </si>
  <si>
    <t>Clarksville Comm School District</t>
  </si>
  <si>
    <t>Clay Central-Everly Comm School District</t>
  </si>
  <si>
    <t>Clear Creek Amana Comm School District</t>
  </si>
  <si>
    <t>Clear Lake Comm School District</t>
  </si>
  <si>
    <t>Clinton Comm School District</t>
  </si>
  <si>
    <t>Colfax-Mingo Comm School District</t>
  </si>
  <si>
    <t>College Comm School District</t>
  </si>
  <si>
    <t>Collins-Maxwell Comm School District</t>
  </si>
  <si>
    <t>Colo-NESCO Comm School District</t>
  </si>
  <si>
    <t>Columbus Comm School District</t>
  </si>
  <si>
    <t>Coon Rapids-Bayard Comm School District</t>
  </si>
  <si>
    <t>Corning Comm School District</t>
  </si>
  <si>
    <t>Council Bluffs Comm School District</t>
  </si>
  <si>
    <t>Creston Comm School District</t>
  </si>
  <si>
    <t>Dallas Center-Grimes Comm School District</t>
  </si>
  <si>
    <t>Danville Comm School District</t>
  </si>
  <si>
    <t>Davenport Comm School District</t>
  </si>
  <si>
    <t>Davis County Comm School District</t>
  </si>
  <si>
    <t>Decorah Community School District</t>
  </si>
  <si>
    <t>Delwood Comm School District</t>
  </si>
  <si>
    <t>Denison Comm School District</t>
  </si>
  <si>
    <t>Denver Comm School District</t>
  </si>
  <si>
    <t>Des Moines Independent Comm School District</t>
  </si>
  <si>
    <t>Diagonal Comm School District</t>
  </si>
  <si>
    <t>Dike-New Hartford Comm School District</t>
  </si>
  <si>
    <t>Dubuque Comm School District</t>
  </si>
  <si>
    <t>Dunkerton Comm School District</t>
  </si>
  <si>
    <t>Boyer Valley Comm School District</t>
  </si>
  <si>
    <t>Durant Comm School District</t>
  </si>
  <si>
    <t>Eagle Grove Comm School District</t>
  </si>
  <si>
    <t>Earlham Comm School District</t>
  </si>
  <si>
    <t>East Buchanan Comm School District</t>
  </si>
  <si>
    <t>Easton Valley Comm School District</t>
  </si>
  <si>
    <t>East Marshall Comm School District</t>
  </si>
  <si>
    <t>East Union Comm School District</t>
  </si>
  <si>
    <t>Eastern Allamakee Comm School District</t>
  </si>
  <si>
    <t>River Valley Comm School District</t>
  </si>
  <si>
    <t>Edgewood-Colesburg Comm School District</t>
  </si>
  <si>
    <t>Eldora-New Providence Comm School District</t>
  </si>
  <si>
    <t>Emmetsburg Comm School District</t>
  </si>
  <si>
    <t>English Valleys Comm School District</t>
  </si>
  <si>
    <t>Essex Comm School District</t>
  </si>
  <si>
    <t>Fairfield Comm School District</t>
  </si>
  <si>
    <t>Forest City Comm School District</t>
  </si>
  <si>
    <t>Fort Dodge Comm School District</t>
  </si>
  <si>
    <t>Fort Madison Comm School District</t>
  </si>
  <si>
    <t>Fremont-Mills Comm School District</t>
  </si>
  <si>
    <t>Galva-Holstein Comm School District</t>
  </si>
  <si>
    <t>Garner-Hayfield-Ventura Comm School District</t>
  </si>
  <si>
    <t>George-Little Rock Comm School District</t>
  </si>
  <si>
    <t>Gilbert Comm School District</t>
  </si>
  <si>
    <t>Gilmore City-Bradgate Comm School District</t>
  </si>
  <si>
    <t>Gladbrook-Reinbeck Comm School District</t>
  </si>
  <si>
    <t>Glenwood Comm School District</t>
  </si>
  <si>
    <t>Glidden-Ralston Comm School District</t>
  </si>
  <si>
    <t>Graettinger-Terril Comm School District</t>
  </si>
  <si>
    <t>Nodaway Valley Comm School District</t>
  </si>
  <si>
    <t>GMG Comm School District</t>
  </si>
  <si>
    <t>Grinnell-Newburg Comm School District</t>
  </si>
  <si>
    <t>Griswold Comm School District</t>
  </si>
  <si>
    <t>Grundy Center Comm School District</t>
  </si>
  <si>
    <t>Guthrie Center Comm School District</t>
  </si>
  <si>
    <t>Clayton Ridge Comm School District</t>
  </si>
  <si>
    <t>H-L-V Comm School District</t>
  </si>
  <si>
    <t>Hamburg Comm School District</t>
  </si>
  <si>
    <t>Hampton-Dumont Comm School District</t>
  </si>
  <si>
    <t>Harlan Comm School District</t>
  </si>
  <si>
    <t>Harris-Lake Park Comm School District</t>
  </si>
  <si>
    <t>Hartley-Melvin-Sanborn Comm School District</t>
  </si>
  <si>
    <t>Highland Comm School District</t>
  </si>
  <si>
    <t>Hinton Comm School District</t>
  </si>
  <si>
    <t>Howard-Winneshiek Comm School District</t>
  </si>
  <si>
    <t>Hubbard-Radcliffe Comm School District</t>
  </si>
  <si>
    <t>Hudson Comm School District</t>
  </si>
  <si>
    <t>Humboldt Comm School District</t>
  </si>
  <si>
    <t>Independence Comm School District</t>
  </si>
  <si>
    <t>Indianola Comm School District</t>
  </si>
  <si>
    <t>Interstate 35 Comm School District</t>
  </si>
  <si>
    <t>Iowa City Comm School District</t>
  </si>
  <si>
    <t>Iowa Falls Comm School District</t>
  </si>
  <si>
    <t>Iowa Valley Comm School District</t>
  </si>
  <si>
    <t>IKM-Manning Comm School District</t>
  </si>
  <si>
    <t>Janesville Consolidated School District</t>
  </si>
  <si>
    <t>Greene County Comm School District</t>
  </si>
  <si>
    <t>Jesup Comm School District</t>
  </si>
  <si>
    <t>Johnston Comm School District</t>
  </si>
  <si>
    <t>Keokuk Comm School District</t>
  </si>
  <si>
    <t>Keota Comm School District</t>
  </si>
  <si>
    <t>Kingsley-Pierson Comm School District</t>
  </si>
  <si>
    <t>Knoxville Comm School District</t>
  </si>
  <si>
    <t>Lake Mills Comm School District</t>
  </si>
  <si>
    <t>Lamoni Comm School District</t>
  </si>
  <si>
    <t>Laurens-Marathon Comm School District</t>
  </si>
  <si>
    <t>Lawton-Bronson Comm School District</t>
  </si>
  <si>
    <t>Le Mars Comm School District</t>
  </si>
  <si>
    <t>Lenox Comm School District</t>
  </si>
  <si>
    <t>Lewis Central Comm School District</t>
  </si>
  <si>
    <t>North Cedar Comm School District</t>
  </si>
  <si>
    <t>Linn-Mar Comm School District</t>
  </si>
  <si>
    <t>Lisbon Comm School District</t>
  </si>
  <si>
    <t>Logan-Magnolia Comm School District</t>
  </si>
  <si>
    <t>Lone Tree Comm School District</t>
  </si>
  <si>
    <t>Louisa-Muscatine Comm School District</t>
  </si>
  <si>
    <t>Lynnville-Sully Comm School District</t>
  </si>
  <si>
    <t>Madrid Comm School District</t>
  </si>
  <si>
    <t>East Mills Comm School District</t>
  </si>
  <si>
    <t>Manson Northwest Webster Comm School District</t>
  </si>
  <si>
    <t>Maple Valley-Anthon Oto Comm School District</t>
  </si>
  <si>
    <t>Maquoketa Comm School District</t>
  </si>
  <si>
    <t>Maquoketa Valley Comm School District</t>
  </si>
  <si>
    <t>Marcus-Meriden-Cleghorn Comm School District</t>
  </si>
  <si>
    <t>Marion Independent School District</t>
  </si>
  <si>
    <t>Marshalltown Comm School District</t>
  </si>
  <si>
    <t>Martensdale-St Marys Comm School District</t>
  </si>
  <si>
    <t>Mason City Comm School District</t>
  </si>
  <si>
    <t>MOC-Floyd Valley Comm School District</t>
  </si>
  <si>
    <t>Mediapolis Comm School District</t>
  </si>
  <si>
    <t>Melcher-Dallas Comm School District</t>
  </si>
  <si>
    <t>Midland Comm School District</t>
  </si>
  <si>
    <t>Mid-Prairie Comm School District</t>
  </si>
  <si>
    <t>Missouri Valley Comm School District</t>
  </si>
  <si>
    <t>MFL MarMac Comm School District</t>
  </si>
  <si>
    <t>Montezuma Comm School District</t>
  </si>
  <si>
    <t>Monticello Comm School District</t>
  </si>
  <si>
    <t>Moravia Comm School District</t>
  </si>
  <si>
    <t>Mormon Trail Comm School District</t>
  </si>
  <si>
    <t>Morning Sun Comm School District</t>
  </si>
  <si>
    <t>Moulton-Udell Comm School District</t>
  </si>
  <si>
    <t>Mount Ayr Comm School District</t>
  </si>
  <si>
    <t>Mount Pleasant Comm School District</t>
  </si>
  <si>
    <t>Mount Vernon Comm School District</t>
  </si>
  <si>
    <t>Murray Comm School District</t>
  </si>
  <si>
    <t>Muscatine Comm School District</t>
  </si>
  <si>
    <t>Nashua-Plainfield Comm School District</t>
  </si>
  <si>
    <t>Nevada Comm School District</t>
  </si>
  <si>
    <t>Newell-Fonda Comm School District</t>
  </si>
  <si>
    <t>New Hampton Comm School District</t>
  </si>
  <si>
    <t>New London Comm School District</t>
  </si>
  <si>
    <t>Newton Comm School District</t>
  </si>
  <si>
    <t>Central Springs Comm School District</t>
  </si>
  <si>
    <t>Northeast Comm School District</t>
  </si>
  <si>
    <t>North Fayette Valley Comm School District</t>
  </si>
  <si>
    <t>North Mahaska Comm School District</t>
  </si>
  <si>
    <t>North Linn Comm School District</t>
  </si>
  <si>
    <t>North Kossuth Comm School District</t>
  </si>
  <si>
    <t>North Polk Comm School District</t>
  </si>
  <si>
    <t>North Scott Comm School District</t>
  </si>
  <si>
    <t>North Tama County Comm School District</t>
  </si>
  <si>
    <t>Northwood-Kensett Comm School District</t>
  </si>
  <si>
    <t>Norwalk Comm School District</t>
  </si>
  <si>
    <t>Odebolt Arthur Battle Creek Ida Grove Comm School District</t>
  </si>
  <si>
    <t>Oelwein Comm School District</t>
  </si>
  <si>
    <t>Ogden Comm School District</t>
  </si>
  <si>
    <t>Okoboji Comm School District</t>
  </si>
  <si>
    <t>Olin Consolidated School District</t>
  </si>
  <si>
    <t>Orient-Macksburg Comm School District</t>
  </si>
  <si>
    <t>Osage Comm School District</t>
  </si>
  <si>
    <t>Oskaloosa Comm School District</t>
  </si>
  <si>
    <t>Ottumwa Comm School District</t>
  </si>
  <si>
    <t>Panorama Comm School District</t>
  </si>
  <si>
    <t>Paton-Churdan Comm School District</t>
  </si>
  <si>
    <t>PCM Comm School District</t>
  </si>
  <si>
    <t>Pekin Comm School District</t>
  </si>
  <si>
    <t>Pella Comm School District</t>
  </si>
  <si>
    <t>Perry Comm School District</t>
  </si>
  <si>
    <t>Pleasant Valley Comm School District</t>
  </si>
  <si>
    <t>Pleasantville Comm School District</t>
  </si>
  <si>
    <t>Pocahontas Area Comm School District</t>
  </si>
  <si>
    <t>Postville Comm School District</t>
  </si>
  <si>
    <t>Red Oak Comm School District</t>
  </si>
  <si>
    <t>Remsen-Union Comm School District</t>
  </si>
  <si>
    <t>Riceville Comm School District</t>
  </si>
  <si>
    <t>Riverside Comm School District</t>
  </si>
  <si>
    <t>Rock Valley Comm School District</t>
  </si>
  <si>
    <t>Roland-Story Comm School District</t>
  </si>
  <si>
    <t>Rudd-Rockford-Marble Rk Comm School District</t>
  </si>
  <si>
    <t>Ruthven-Ayrshire Comm School District</t>
  </si>
  <si>
    <t>St Ansgar Comm School District</t>
  </si>
  <si>
    <t>Saydel Comm School District</t>
  </si>
  <si>
    <t>Schaller-Crestland Comm School District</t>
  </si>
  <si>
    <t>Schleswig Comm School District</t>
  </si>
  <si>
    <t>Sergeant Bluff-Luton Comm School District</t>
  </si>
  <si>
    <t>Seymour Comm School District</t>
  </si>
  <si>
    <t>West Fork Comm School District</t>
  </si>
  <si>
    <t>Sheldon Comm School District</t>
  </si>
  <si>
    <t>Shenandoah Comm School District</t>
  </si>
  <si>
    <t>Sibley-Ocheyedan Comm School District</t>
  </si>
  <si>
    <t>Sidney Comm School District</t>
  </si>
  <si>
    <t>Sigourney Comm School District</t>
  </si>
  <si>
    <t>Sioux Center Comm School District</t>
  </si>
  <si>
    <t>Sioux Central Comm School District</t>
  </si>
  <si>
    <t>Sioux City Comm School District</t>
  </si>
  <si>
    <t>South Central Calhoun Comm School District</t>
  </si>
  <si>
    <t>Solon Comm School District</t>
  </si>
  <si>
    <t>Southeast Warren Comm School District</t>
  </si>
  <si>
    <t>South Hamilton Comm School District</t>
  </si>
  <si>
    <t>South Page Comm School District</t>
  </si>
  <si>
    <t>South O'Brien Comm School District</t>
  </si>
  <si>
    <t>South Winneshiek Comm School District</t>
  </si>
  <si>
    <t>Southeast Polk Comm School District</t>
  </si>
  <si>
    <t>Spencer Comm School District</t>
  </si>
  <si>
    <t>Spirit Lake Comm School District</t>
  </si>
  <si>
    <t>Springville Comm School District</t>
  </si>
  <si>
    <t>Stanton Comm School District</t>
  </si>
  <si>
    <t>Starmont Comm School District</t>
  </si>
  <si>
    <t>Storm Lake Comm School District</t>
  </si>
  <si>
    <t>Stratford Comm School District</t>
  </si>
  <si>
    <t>West Central Valley Comm School District</t>
  </si>
  <si>
    <t>Sumner-Fredericksburg Comm School District</t>
  </si>
  <si>
    <t>Tipton Comm School District</t>
  </si>
  <si>
    <t>Treynor Comm School District</t>
  </si>
  <si>
    <t>Tri-Center Comm School District</t>
  </si>
  <si>
    <t>Tri-County Comm School District</t>
  </si>
  <si>
    <t>Tripoli Comm School District</t>
  </si>
  <si>
    <t>Turkey Valley Comm School District</t>
  </si>
  <si>
    <t>Twin Cedars Comm School District</t>
  </si>
  <si>
    <t>Twin Rivers Comm School District</t>
  </si>
  <si>
    <t>Underwood Comm School District</t>
  </si>
  <si>
    <t>Union Comm School District</t>
  </si>
  <si>
    <t>United Comm School District</t>
  </si>
  <si>
    <t>Urbandale Comm School District</t>
  </si>
  <si>
    <t>Van Buren County Comm School District</t>
  </si>
  <si>
    <t>Van Meter Comm School District</t>
  </si>
  <si>
    <t>Villisca Comm School District</t>
  </si>
  <si>
    <t>Vinton-Shellsburg Comm School District</t>
  </si>
  <si>
    <t>East Sac County Comm School District</t>
  </si>
  <si>
    <t>Wapello Comm School District</t>
  </si>
  <si>
    <t>Wapsie Valley Comm School District</t>
  </si>
  <si>
    <t>Washington Comm School District</t>
  </si>
  <si>
    <t>Waterloo Comm School District</t>
  </si>
  <si>
    <t>Waukee Comm School District</t>
  </si>
  <si>
    <t>Waverly-Shell Rock Comm School District</t>
  </si>
  <si>
    <t>Wayne Comm School District</t>
  </si>
  <si>
    <t>Webster City Comm School District</t>
  </si>
  <si>
    <t>West Bend-Mallard Comm School District</t>
  </si>
  <si>
    <t>West Branch Comm School District</t>
  </si>
  <si>
    <t>West Burlington Ind School District</t>
  </si>
  <si>
    <t>West Central Comm School District</t>
  </si>
  <si>
    <t>West Delaware County Comm School District</t>
  </si>
  <si>
    <t>West Des Moines Comm School District</t>
  </si>
  <si>
    <t>Western Dubuque Comm School District</t>
  </si>
  <si>
    <t>West Harrison Comm School District</t>
  </si>
  <si>
    <t>West Liberty Comm School District</t>
  </si>
  <si>
    <t>West Lyon Comm School District</t>
  </si>
  <si>
    <t>West Marshall Comm School District</t>
  </si>
  <si>
    <t>West Monona Comm School District</t>
  </si>
  <si>
    <t>West Sioux Comm School District</t>
  </si>
  <si>
    <t>Westwood Comm School District</t>
  </si>
  <si>
    <t>Whiting Comm School District</t>
  </si>
  <si>
    <t>Williamsburg Comm School District</t>
  </si>
  <si>
    <t>Wilton Comm School District</t>
  </si>
  <si>
    <t>Winfield-Mt Union Comm School District</t>
  </si>
  <si>
    <t>Winterset Comm School District</t>
  </si>
  <si>
    <t>Woodbine Comm School District</t>
  </si>
  <si>
    <t>Woodbury Central Comm School District</t>
  </si>
  <si>
    <t>Woodward-Granger Comm School District</t>
  </si>
  <si>
    <t>Southeast Valley</t>
  </si>
  <si>
    <t>Assigned &amp; Unassigned Fund Balance</t>
  </si>
  <si>
    <t>WACO Comm School District</t>
  </si>
  <si>
    <t>Southeast Valley Community School District</t>
  </si>
  <si>
    <t>Choice Charter Schools</t>
  </si>
  <si>
    <t>Maximum Cash Reserve Levy</t>
  </si>
  <si>
    <t>Percent of Maximum Utilized</t>
  </si>
  <si>
    <t>Estherville Lincoln Central Comm School District</t>
  </si>
  <si>
    <t>Exira-Elk Horn-Kimballton Comm School District</t>
  </si>
  <si>
    <t>Charter Organization: Concept Schools</t>
  </si>
  <si>
    <t>FY24 Expenditures, Miscellaneous Income, Assigned/Unassigned Fund Balace, Total Fund Balance - Final</t>
  </si>
  <si>
    <t>Agency Number</t>
  </si>
  <si>
    <t>Agency Name</t>
  </si>
  <si>
    <t>Final Maximum Cash Reserve Levy</t>
  </si>
  <si>
    <t>Final 6-25-2025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</si>
</sst>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3" fontId="2" fillId="0" borderId="0" xfId="0" applyNumberFormat="1" applyFont="1"/>
    <xf numFmtId="4" fontId="0" fillId="0" borderId="0" xfId="0" applyNumberFormat="1"/>
    <xf numFmtId="49" fontId="0" fillId="0" borderId="0" xfId="0" applyNumberFormat="1"/>
    <xf numFmtId="3" fontId="2" fillId="0" borderId="0" xfId="0" applyNumberFormat="1" applyFont="1" applyAlignment="1">
      <alignment horizontal="right"/>
    </xf>
    <xf numFmtId="3" fontId="0" fillId="0" borderId="0" xfId="0" applyNumberFormat="1"/>
    <xf numFmtId="0" fontId="2" fillId="0" borderId="1" xfId="0" applyFont="1" applyBorder="1"/>
    <xf numFmtId="3" fontId="2" fillId="0" borderId="1" xfId="0" applyNumberFormat="1" applyFont="1" applyBorder="1"/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3" fontId="2" fillId="0" borderId="2" xfId="0" applyNumberFormat="1" applyFont="1" applyBorder="1"/>
    <xf numFmtId="0" fontId="3" fillId="0" borderId="0" xfId="0" applyFont="1"/>
    <xf numFmtId="0" fontId="1" fillId="0" borderId="0" xfId="0" applyFont="1"/>
    <xf numFmtId="9" fontId="2" fillId="0" borderId="1" xfId="1" applyFont="1" applyFill="1" applyBorder="1"/>
    <xf numFmtId="0" fontId="4" fillId="0" borderId="0" xfId="0" applyFont="1" applyAlignment="1">
      <alignment vertical="center" wrapText="1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6" xfId="0" applyBorder="1"/>
    <xf numFmtId="0" fontId="0" fillId="0" borderId="1" xfId="0" applyBorder="1"/>
    <xf numFmtId="4" fontId="0" fillId="0" borderId="1" xfId="0" applyNumberFormat="1" applyBorder="1"/>
    <xf numFmtId="4" fontId="0" fillId="0" borderId="7" xfId="0" applyNumberFormat="1" applyBorder="1"/>
    <xf numFmtId="0" fontId="0" fillId="0" borderId="8" xfId="0" applyBorder="1"/>
    <xf numFmtId="0" fontId="0" fillId="0" borderId="9" xfId="0" applyBorder="1"/>
    <xf numFmtId="4" fontId="0" fillId="0" borderId="9" xfId="0" applyNumberFormat="1" applyBorder="1"/>
    <xf numFmtId="4" fontId="0" fillId="0" borderId="10" xfId="0" applyNumberForma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0" xfId="0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2"/>
  <sheetViews>
    <sheetView tabSelected="1" zoomScaleNormal="100" workbookViewId="0">
      <pane xSplit="7" ySplit="2" topLeftCell="H310" activePane="bottomRight" state="frozen"/>
      <selection pane="topRight" activeCell="L1" sqref="L1"/>
      <selection pane="bottomLeft" activeCell="A2" sqref="A2"/>
      <selection pane="bottomRight"/>
    </sheetView>
  </sheetViews>
  <sheetFormatPr defaultRowHeight="12.75" x14ac:dyDescent="0.2"/>
  <cols>
    <col min="1" max="1" width="9.140625" style="1" customWidth="1"/>
    <col min="2" max="2" width="4.85546875" style="1" customWidth="1"/>
    <col min="3" max="3" width="4.42578125" style="1" bestFit="1" customWidth="1"/>
    <col min="4" max="4" width="9.140625" style="1" hidden="1" customWidth="1"/>
    <col min="5" max="5" width="8.28515625" style="1" hidden="1" customWidth="1"/>
    <col min="6" max="6" width="8.28515625" style="1" customWidth="1"/>
    <col min="7" max="7" width="40.140625" style="1" customWidth="1"/>
    <col min="8" max="8" width="12" style="1" customWidth="1"/>
    <col min="9" max="9" width="13" style="1" customWidth="1"/>
    <col min="10" max="10" width="14.42578125" style="1" bestFit="1" customWidth="1"/>
    <col min="11" max="11" width="14" style="2" customWidth="1"/>
    <col min="12" max="12" width="14.7109375" style="1" customWidth="1"/>
    <col min="13" max="13" width="9.140625" style="1" customWidth="1"/>
    <col min="14" max="14" width="22.28515625" style="1" hidden="1" customWidth="1"/>
    <col min="15" max="16" width="9.140625" style="1" customWidth="1"/>
    <col min="17" max="16384" width="9.140625" style="1"/>
  </cols>
  <sheetData>
    <row r="1" spans="1:15" ht="39" customHeight="1" x14ac:dyDescent="0.2">
      <c r="D1" s="16"/>
      <c r="E1" s="16"/>
      <c r="F1" s="16"/>
      <c r="G1" s="33" t="str">
        <f>_xlfn.CONCAT("SBRC FY ",A3," Final Cash Reserve Levy Limitations
Source: FY ",A3-2," Certified Annual Report")</f>
        <v>SBRC FY 2026 Final Cash Reserve Levy Limitations
Source: FY 2024 Certified Annual Report</v>
      </c>
      <c r="H1" s="33"/>
      <c r="I1" s="33"/>
      <c r="J1" s="33"/>
      <c r="K1" s="33"/>
      <c r="L1" s="33"/>
      <c r="M1" s="33"/>
    </row>
    <row r="2" spans="1:15" ht="51" x14ac:dyDescent="0.2">
      <c r="A2" s="1" t="s">
        <v>668</v>
      </c>
      <c r="B2" s="1" t="s">
        <v>669</v>
      </c>
      <c r="C2" s="1" t="s">
        <v>670</v>
      </c>
      <c r="D2" s="1" t="s">
        <v>672</v>
      </c>
      <c r="E2" s="1" t="s">
        <v>673</v>
      </c>
      <c r="F2" s="1" t="s">
        <v>671</v>
      </c>
      <c r="G2" s="13" t="s">
        <v>681</v>
      </c>
      <c r="H2" s="11" t="s">
        <v>674</v>
      </c>
      <c r="I2" s="11" t="s">
        <v>679</v>
      </c>
      <c r="J2" s="11" t="s">
        <v>680</v>
      </c>
      <c r="K2" s="10" t="s">
        <v>1026</v>
      </c>
      <c r="L2" s="10" t="s">
        <v>682</v>
      </c>
      <c r="M2" s="10" t="s">
        <v>692</v>
      </c>
    </row>
    <row r="3" spans="1:15" x14ac:dyDescent="0.2">
      <c r="A3" s="7">
        <v>2026</v>
      </c>
      <c r="B3" s="7" t="s">
        <v>0</v>
      </c>
      <c r="C3" s="7" t="s">
        <v>1</v>
      </c>
      <c r="D3" s="7" t="s">
        <v>687</v>
      </c>
      <c r="E3" s="7" t="s">
        <v>687</v>
      </c>
      <c r="F3" s="7" t="s">
        <v>1</v>
      </c>
      <c r="G3" s="7" t="s">
        <v>2</v>
      </c>
      <c r="H3" s="8">
        <f>ROUND(SUMPRODUCT(SUMIF(Final!$G$4:$G$330,CashReserveLevy!D3:F3,Final!$C$4:$C$330)),0)</f>
        <v>4907234</v>
      </c>
      <c r="I3" s="8">
        <f>ROUND(H3*0.2,0)</f>
        <v>981447</v>
      </c>
      <c r="J3" s="8">
        <f>ROUND(SUMPRODUCT(SUMIF(Final!$G$4:$G$330,CashReserveLevy!D3:F3,Final!$E$4:$E$330)),0)</f>
        <v>1437726</v>
      </c>
      <c r="K3" s="8">
        <f>IF(I3&gt;J3,I3-J3,0)</f>
        <v>0</v>
      </c>
      <c r="L3" s="8">
        <f>INDEX(ActualCRLevy_SAS!$A$2:$D$326,MATCH(CashReserveLevy!$C3,ActualCRLevy_SAS!$B$2:$B$326,0),4)</f>
        <v>0</v>
      </c>
      <c r="M3" s="31" t="str">
        <f>IF(AND(L3=K3,K3&gt;0),"Max","")</f>
        <v/>
      </c>
      <c r="N3" s="1" t="str">
        <f>IF(AND(L3&lt;K3,L3=0),"No Levy but have Capacity","")</f>
        <v/>
      </c>
      <c r="O3" s="1" t="str">
        <f t="shared" ref="O3:O12" si="0">IF(L3&gt;K3,"Exceedes Maximum Limit","")</f>
        <v/>
      </c>
    </row>
    <row r="4" spans="1:15" x14ac:dyDescent="0.2">
      <c r="A4" s="7">
        <v>2026</v>
      </c>
      <c r="B4" s="7" t="s">
        <v>0</v>
      </c>
      <c r="C4" s="7" t="s">
        <v>3</v>
      </c>
      <c r="D4" s="7" t="s">
        <v>687</v>
      </c>
      <c r="E4" s="7" t="s">
        <v>687</v>
      </c>
      <c r="F4" s="7" t="s">
        <v>3</v>
      </c>
      <c r="G4" s="7" t="s">
        <v>4</v>
      </c>
      <c r="H4" s="8">
        <f>ROUND(SUMPRODUCT(SUMIF(Final!$G$4:$G$330,CashReserveLevy!D4:F4,Final!$C$4:$C$330)),0)</f>
        <v>27144003</v>
      </c>
      <c r="I4" s="8">
        <f>ROUND(H4*0.2,0)</f>
        <v>5428801</v>
      </c>
      <c r="J4" s="8">
        <f>ROUND(SUMPRODUCT(SUMIF(Final!$G$4:$G$330,CashReserveLevy!D4:F4,Final!$E$4:$E$330)),0)</f>
        <v>4129415</v>
      </c>
      <c r="K4" s="8">
        <f t="shared" ref="K4:K67" si="1">IF(I4&gt;J4,I4-J4,0)</f>
        <v>1299386</v>
      </c>
      <c r="L4" s="8">
        <f>INDEX(ActualCRLevy_SAS!$A$2:$D$326,MATCH(CashReserveLevy!$C4,ActualCRLevy_SAS!$B$2:$B$326,0),4)</f>
        <v>1299386</v>
      </c>
      <c r="M4" s="31" t="str">
        <f t="shared" ref="M4:M67" si="2">IF(AND(L4=K4,K4&gt;0),"Max","")</f>
        <v>Max</v>
      </c>
      <c r="N4" s="1" t="str">
        <f t="shared" ref="N4:N67" si="3">IF(AND(L4&lt;K4,L4=0),"No Levy but have Capacity","")</f>
        <v/>
      </c>
      <c r="O4" s="1" t="str">
        <f t="shared" si="0"/>
        <v/>
      </c>
    </row>
    <row r="5" spans="1:15" x14ac:dyDescent="0.2">
      <c r="A5" s="7">
        <v>2026</v>
      </c>
      <c r="B5" s="7" t="s">
        <v>5</v>
      </c>
      <c r="C5" s="7" t="s">
        <v>6</v>
      </c>
      <c r="D5" s="7" t="s">
        <v>687</v>
      </c>
      <c r="E5" s="7" t="s">
        <v>687</v>
      </c>
      <c r="F5" s="7" t="s">
        <v>6</v>
      </c>
      <c r="G5" s="7" t="s">
        <v>7</v>
      </c>
      <c r="H5" s="8">
        <f>ROUND(SUMPRODUCT(SUMIF(Final!$G$4:$G$330,CashReserveLevy!D5:F5,Final!$C$4:$C$330)),0)</f>
        <v>10259078</v>
      </c>
      <c r="I5" s="8">
        <f t="shared" ref="I5:I67" si="4">ROUND(H5*0.2,0)</f>
        <v>2051816</v>
      </c>
      <c r="J5" s="8">
        <f>ROUND(SUMPRODUCT(SUMIF(Final!$G$4:$G$330,CashReserveLevy!D5:F5,Final!$E$4:$E$330)),0)</f>
        <v>-155502</v>
      </c>
      <c r="K5" s="8">
        <f t="shared" si="1"/>
        <v>2207318</v>
      </c>
      <c r="L5" s="8">
        <f>INDEX(ActualCRLevy_SAS!$A$2:$D$326,MATCH(CashReserveLevy!$C5,ActualCRLevy_SAS!$B$2:$B$326,0),4)</f>
        <v>1000000</v>
      </c>
      <c r="M5" s="31" t="str">
        <f t="shared" si="2"/>
        <v/>
      </c>
      <c r="N5" s="1" t="str">
        <f t="shared" si="3"/>
        <v/>
      </c>
      <c r="O5" s="1" t="str">
        <f t="shared" si="0"/>
        <v/>
      </c>
    </row>
    <row r="6" spans="1:15" x14ac:dyDescent="0.2">
      <c r="A6" s="7">
        <v>2026</v>
      </c>
      <c r="B6" s="7" t="s">
        <v>8</v>
      </c>
      <c r="C6" s="7" t="s">
        <v>9</v>
      </c>
      <c r="D6" s="7" t="s">
        <v>687</v>
      </c>
      <c r="E6" s="7" t="s">
        <v>687</v>
      </c>
      <c r="F6" s="7" t="s">
        <v>9</v>
      </c>
      <c r="G6" s="7" t="s">
        <v>10</v>
      </c>
      <c r="H6" s="8">
        <f>ROUND(SUMPRODUCT(SUMIF(Final!$G$4:$G$330,CashReserveLevy!D6:F6,Final!$C$4:$C$330)),0)</f>
        <v>10779050</v>
      </c>
      <c r="I6" s="8">
        <f t="shared" si="4"/>
        <v>2155810</v>
      </c>
      <c r="J6" s="8">
        <f>ROUND(SUMPRODUCT(SUMIF(Final!$G$4:$G$330,CashReserveLevy!D6:F6,Final!$E$4:$E$330)),0)</f>
        <v>2037901</v>
      </c>
      <c r="K6" s="8">
        <f t="shared" si="1"/>
        <v>117909</v>
      </c>
      <c r="L6" s="8">
        <f>INDEX(ActualCRLevy_SAS!$A$2:$D$326,MATCH(CashReserveLevy!$C6,ActualCRLevy_SAS!$B$2:$B$326,0),4)</f>
        <v>117909</v>
      </c>
      <c r="M6" s="31" t="str">
        <f t="shared" si="2"/>
        <v>Max</v>
      </c>
      <c r="N6" s="1" t="str">
        <f t="shared" si="3"/>
        <v/>
      </c>
      <c r="O6" s="1" t="str">
        <f t="shared" si="0"/>
        <v/>
      </c>
    </row>
    <row r="7" spans="1:15" x14ac:dyDescent="0.2">
      <c r="A7" s="7">
        <v>2026</v>
      </c>
      <c r="B7" s="7" t="s">
        <v>11</v>
      </c>
      <c r="C7" s="7" t="s">
        <v>12</v>
      </c>
      <c r="D7" s="7" t="s">
        <v>687</v>
      </c>
      <c r="E7" s="7" t="s">
        <v>687</v>
      </c>
      <c r="F7" s="7" t="s">
        <v>12</v>
      </c>
      <c r="G7" s="7" t="s">
        <v>13</v>
      </c>
      <c r="H7" s="8">
        <f>ROUND(SUMPRODUCT(SUMIF(Final!$G$4:$G$330,CashReserveLevy!D7:F7,Final!$C$4:$C$330)),0)</f>
        <v>8463070</v>
      </c>
      <c r="I7" s="8">
        <f t="shared" si="4"/>
        <v>1692614</v>
      </c>
      <c r="J7" s="8">
        <f>ROUND(SUMPRODUCT(SUMIF(Final!$G$4:$G$330,CashReserveLevy!D7:F7,Final!$E$4:$E$330)),0)</f>
        <v>861251</v>
      </c>
      <c r="K7" s="8">
        <f t="shared" si="1"/>
        <v>831363</v>
      </c>
      <c r="L7" s="8">
        <f>INDEX(ActualCRLevy_SAS!$A$2:$D$326,MATCH(CashReserveLevy!$C7,ActualCRLevy_SAS!$B$2:$B$326,0),4)</f>
        <v>831363</v>
      </c>
      <c r="M7" s="31" t="str">
        <f t="shared" si="2"/>
        <v>Max</v>
      </c>
      <c r="N7" s="1" t="str">
        <f t="shared" si="3"/>
        <v/>
      </c>
      <c r="O7" s="1" t="str">
        <f t="shared" si="0"/>
        <v/>
      </c>
    </row>
    <row r="8" spans="1:15" x14ac:dyDescent="0.2">
      <c r="A8" s="7">
        <v>2026</v>
      </c>
      <c r="B8" s="7" t="s">
        <v>14</v>
      </c>
      <c r="C8" s="7" t="s">
        <v>15</v>
      </c>
      <c r="D8" s="7" t="s">
        <v>687</v>
      </c>
      <c r="E8" s="7" t="s">
        <v>687</v>
      </c>
      <c r="F8" s="7" t="s">
        <v>15</v>
      </c>
      <c r="G8" s="7" t="s">
        <v>16</v>
      </c>
      <c r="H8" s="8">
        <f>ROUND(SUMPRODUCT(SUMIF(Final!$G$4:$G$330,CashReserveLevy!D8:F8,Final!$C$4:$C$330)),0)</f>
        <v>2967467</v>
      </c>
      <c r="I8" s="8">
        <f t="shared" si="4"/>
        <v>593493</v>
      </c>
      <c r="J8" s="8">
        <f>ROUND(SUMPRODUCT(SUMIF(Final!$G$4:$G$330,CashReserveLevy!D8:F8,Final!$E$4:$E$330)),0)</f>
        <v>1552674</v>
      </c>
      <c r="K8" s="8">
        <f t="shared" si="1"/>
        <v>0</v>
      </c>
      <c r="L8" s="8">
        <f>INDEX(ActualCRLevy_SAS!$A$2:$D$326,MATCH(CashReserveLevy!$C8,ActualCRLevy_SAS!$B$2:$B$326,0),4)</f>
        <v>0</v>
      </c>
      <c r="M8" s="31" t="str">
        <f t="shared" si="2"/>
        <v/>
      </c>
      <c r="N8" s="1" t="str">
        <f t="shared" si="3"/>
        <v/>
      </c>
      <c r="O8" s="1" t="str">
        <f t="shared" si="0"/>
        <v/>
      </c>
    </row>
    <row r="9" spans="1:15" x14ac:dyDescent="0.2">
      <c r="A9" s="7">
        <v>2026</v>
      </c>
      <c r="B9" s="7" t="s">
        <v>17</v>
      </c>
      <c r="C9" s="7" t="s">
        <v>18</v>
      </c>
      <c r="D9" s="7" t="s">
        <v>687</v>
      </c>
      <c r="E9" s="7" t="s">
        <v>687</v>
      </c>
      <c r="F9" s="7" t="s">
        <v>18</v>
      </c>
      <c r="G9" s="7" t="s">
        <v>19</v>
      </c>
      <c r="H9" s="8">
        <f>ROUND(SUMPRODUCT(SUMIF(Final!$G$4:$G$330,CashReserveLevy!D9:F9,Final!$C$4:$C$330)),0)</f>
        <v>14649277</v>
      </c>
      <c r="I9" s="8">
        <f t="shared" si="4"/>
        <v>2929855</v>
      </c>
      <c r="J9" s="8">
        <f>ROUND(SUMPRODUCT(SUMIF(Final!$G$4:$G$330,CashReserveLevy!D9:F9,Final!$E$4:$E$330)),0)</f>
        <v>4141165</v>
      </c>
      <c r="K9" s="8">
        <f t="shared" si="1"/>
        <v>0</v>
      </c>
      <c r="L9" s="8">
        <f>INDEX(ActualCRLevy_SAS!$A$2:$D$326,MATCH(CashReserveLevy!$C9,ActualCRLevy_SAS!$B$2:$B$326,0),4)</f>
        <v>0</v>
      </c>
      <c r="M9" s="31" t="str">
        <f t="shared" si="2"/>
        <v/>
      </c>
      <c r="N9" s="1" t="str">
        <f t="shared" si="3"/>
        <v/>
      </c>
      <c r="O9" s="1" t="str">
        <f t="shared" si="0"/>
        <v/>
      </c>
    </row>
    <row r="10" spans="1:15" x14ac:dyDescent="0.2">
      <c r="A10" s="7">
        <v>2026</v>
      </c>
      <c r="B10" s="7" t="s">
        <v>20</v>
      </c>
      <c r="C10" s="7" t="s">
        <v>21</v>
      </c>
      <c r="D10" s="7" t="s">
        <v>687</v>
      </c>
      <c r="E10" s="7" t="s">
        <v>687</v>
      </c>
      <c r="F10" s="7" t="s">
        <v>21</v>
      </c>
      <c r="G10" s="7" t="s">
        <v>22</v>
      </c>
      <c r="H10" s="8">
        <f>ROUND(SUMPRODUCT(SUMIF(Final!$G$4:$G$330,CashReserveLevy!D10:F10,Final!$C$4:$C$330)),0)</f>
        <v>9574247</v>
      </c>
      <c r="I10" s="8">
        <f t="shared" si="4"/>
        <v>1914849</v>
      </c>
      <c r="J10" s="8">
        <f>ROUND(SUMPRODUCT(SUMIF(Final!$G$4:$G$330,CashReserveLevy!D10:F10,Final!$E$4:$E$330)),0)</f>
        <v>1279357</v>
      </c>
      <c r="K10" s="8">
        <f t="shared" si="1"/>
        <v>635492</v>
      </c>
      <c r="L10" s="8">
        <f>INDEX(ActualCRLevy_SAS!$A$2:$D$326,MATCH(CashReserveLevy!$C10,ActualCRLevy_SAS!$B$2:$B$326,0),4)</f>
        <v>300000</v>
      </c>
      <c r="M10" s="31" t="str">
        <f t="shared" si="2"/>
        <v/>
      </c>
      <c r="N10" s="1" t="str">
        <f t="shared" si="3"/>
        <v/>
      </c>
      <c r="O10" s="1" t="str">
        <f t="shared" si="0"/>
        <v/>
      </c>
    </row>
    <row r="11" spans="1:15" x14ac:dyDescent="0.2">
      <c r="A11" s="7">
        <v>2026</v>
      </c>
      <c r="B11" s="7" t="s">
        <v>5</v>
      </c>
      <c r="C11" s="7" t="s">
        <v>23</v>
      </c>
      <c r="D11" s="7" t="s">
        <v>687</v>
      </c>
      <c r="E11" s="7" t="s">
        <v>687</v>
      </c>
      <c r="F11" s="7" t="s">
        <v>23</v>
      </c>
      <c r="G11" s="7" t="s">
        <v>24</v>
      </c>
      <c r="H11" s="8">
        <f>ROUND(SUMPRODUCT(SUMIF(Final!$G$4:$G$330,CashReserveLevy!D11:F11,Final!$C$4:$C$330)),0)</f>
        <v>3882411</v>
      </c>
      <c r="I11" s="8">
        <f t="shared" si="4"/>
        <v>776482</v>
      </c>
      <c r="J11" s="8">
        <f>ROUND(SUMPRODUCT(SUMIF(Final!$G$4:$G$330,CashReserveLevy!D11:F11,Final!$E$4:$E$330)),0)</f>
        <v>380516</v>
      </c>
      <c r="K11" s="8">
        <f t="shared" si="1"/>
        <v>395966</v>
      </c>
      <c r="L11" s="8">
        <f>INDEX(ActualCRLevy_SAS!$A$2:$D$326,MATCH(CashReserveLevy!$C11,ActualCRLevy_SAS!$B$2:$B$326,0),4)</f>
        <v>375000</v>
      </c>
      <c r="M11" s="31" t="str">
        <f t="shared" si="2"/>
        <v/>
      </c>
      <c r="N11" s="1" t="str">
        <f t="shared" si="3"/>
        <v/>
      </c>
      <c r="O11" s="1" t="str">
        <f t="shared" si="0"/>
        <v/>
      </c>
    </row>
    <row r="12" spans="1:15" x14ac:dyDescent="0.2">
      <c r="A12" s="7">
        <v>2026</v>
      </c>
      <c r="B12" s="7" t="s">
        <v>14</v>
      </c>
      <c r="C12" s="7" t="s">
        <v>25</v>
      </c>
      <c r="D12" s="7" t="s">
        <v>27</v>
      </c>
      <c r="E12" s="7" t="s">
        <v>342</v>
      </c>
      <c r="F12" s="7" t="s">
        <v>25</v>
      </c>
      <c r="G12" s="7" t="s">
        <v>26</v>
      </c>
      <c r="H12" s="8">
        <f>ROUND(SUMPRODUCT(SUMIF(Final!$G$4:$G$330,CashReserveLevy!D12:F12,Final!$C$4:$C$330)),0)</f>
        <v>22265557</v>
      </c>
      <c r="I12" s="8">
        <f t="shared" si="4"/>
        <v>4453111</v>
      </c>
      <c r="J12" s="8">
        <f>ROUND(SUMPRODUCT(SUMIF(Final!$G$4:$G$330,CashReserveLevy!D12:F12,Final!$E$4:$E$330)),0)</f>
        <v>3638895</v>
      </c>
      <c r="K12" s="8">
        <f t="shared" si="1"/>
        <v>814216</v>
      </c>
      <c r="L12" s="8">
        <f>INDEX(ActualCRLevy_SAS!$A$2:$D$326,MATCH(CashReserveLevy!$C12,ActualCRLevy_SAS!$B$2:$B$326,0),4)</f>
        <v>814216</v>
      </c>
      <c r="M12" s="31" t="str">
        <f t="shared" si="2"/>
        <v>Max</v>
      </c>
      <c r="N12" s="1" t="str">
        <f t="shared" si="3"/>
        <v/>
      </c>
      <c r="O12" s="1" t="str">
        <f t="shared" si="0"/>
        <v/>
      </c>
    </row>
    <row r="13" spans="1:15" x14ac:dyDescent="0.2">
      <c r="A13" s="7">
        <v>2026</v>
      </c>
      <c r="B13" s="7" t="s">
        <v>28</v>
      </c>
      <c r="C13" s="7" t="s">
        <v>29</v>
      </c>
      <c r="D13" s="7" t="s">
        <v>687</v>
      </c>
      <c r="E13" s="7" t="s">
        <v>687</v>
      </c>
      <c r="F13" s="7" t="s">
        <v>29</v>
      </c>
      <c r="G13" s="7" t="s">
        <v>30</v>
      </c>
      <c r="H13" s="8">
        <f>ROUND(SUMPRODUCT(SUMIF(Final!$G$4:$G$330,CashReserveLevy!D13:F13,Final!$C$4:$C$330)),0)</f>
        <v>15125260</v>
      </c>
      <c r="I13" s="8">
        <f t="shared" si="4"/>
        <v>3025052</v>
      </c>
      <c r="J13" s="8">
        <f>ROUND(SUMPRODUCT(SUMIF(Final!$G$4:$G$330,CashReserveLevy!D13:F13,Final!$E$4:$E$330)),0)</f>
        <v>1748725</v>
      </c>
      <c r="K13" s="8">
        <f t="shared" si="1"/>
        <v>1276327</v>
      </c>
      <c r="L13" s="8">
        <f>INDEX(ActualCRLevy_SAS!$A$2:$D$326,MATCH(CashReserveLevy!$C13,ActualCRLevy_SAS!$B$2:$B$326,0),4)</f>
        <v>400000</v>
      </c>
      <c r="M13" s="31" t="str">
        <f t="shared" si="2"/>
        <v/>
      </c>
      <c r="N13" s="1" t="str">
        <f t="shared" si="3"/>
        <v/>
      </c>
      <c r="O13" s="1" t="str">
        <f t="shared" ref="O13:O76" si="5">IF(L13&gt;K13,"Exceedes Maximum Limit","")</f>
        <v/>
      </c>
    </row>
    <row r="14" spans="1:15" x14ac:dyDescent="0.2">
      <c r="A14" s="7">
        <v>2026</v>
      </c>
      <c r="B14" s="7" t="s">
        <v>14</v>
      </c>
      <c r="C14" s="7" t="s">
        <v>31</v>
      </c>
      <c r="D14" s="7" t="s">
        <v>687</v>
      </c>
      <c r="E14" s="7" t="s">
        <v>687</v>
      </c>
      <c r="F14" s="7" t="s">
        <v>31</v>
      </c>
      <c r="G14" s="7" t="s">
        <v>32</v>
      </c>
      <c r="H14" s="8">
        <f>ROUND(SUMPRODUCT(SUMIF(Final!$G$4:$G$330,CashReserveLevy!D14:F14,Final!$C$4:$C$330)),0)</f>
        <v>11750216</v>
      </c>
      <c r="I14" s="8">
        <f t="shared" si="4"/>
        <v>2350043</v>
      </c>
      <c r="J14" s="8">
        <f>ROUND(SUMPRODUCT(SUMIF(Final!$G$4:$G$330,CashReserveLevy!D14:F14,Final!$E$4:$E$330)),0)</f>
        <v>1427391</v>
      </c>
      <c r="K14" s="8">
        <f t="shared" si="1"/>
        <v>922652</v>
      </c>
      <c r="L14" s="8">
        <f>INDEX(ActualCRLevy_SAS!$A$2:$D$326,MATCH(CashReserveLevy!$C14,ActualCRLevy_SAS!$B$2:$B$326,0),4)</f>
        <v>600000</v>
      </c>
      <c r="M14" s="31" t="str">
        <f t="shared" si="2"/>
        <v/>
      </c>
      <c r="N14" s="1" t="str">
        <f t="shared" si="3"/>
        <v/>
      </c>
      <c r="O14" s="1" t="str">
        <f t="shared" si="5"/>
        <v/>
      </c>
    </row>
    <row r="15" spans="1:15" x14ac:dyDescent="0.2">
      <c r="A15" s="7">
        <v>2026</v>
      </c>
      <c r="B15" s="7" t="s">
        <v>0</v>
      </c>
      <c r="C15" s="7" t="s">
        <v>33</v>
      </c>
      <c r="D15" s="7" t="s">
        <v>687</v>
      </c>
      <c r="E15" s="7" t="s">
        <v>687</v>
      </c>
      <c r="F15" s="7" t="s">
        <v>33</v>
      </c>
      <c r="G15" s="7" t="s">
        <v>34</v>
      </c>
      <c r="H15" s="8">
        <f>ROUND(SUMPRODUCT(SUMIF(Final!$G$4:$G$330,CashReserveLevy!D15:F15,Final!$C$4:$C$330)),0)</f>
        <v>65267651</v>
      </c>
      <c r="I15" s="8">
        <f t="shared" si="4"/>
        <v>13053530</v>
      </c>
      <c r="J15" s="8">
        <f>ROUND(SUMPRODUCT(SUMIF(Final!$G$4:$G$330,CashReserveLevy!D15:F15,Final!$E$4:$E$330)),0)</f>
        <v>14130396</v>
      </c>
      <c r="K15" s="8">
        <f t="shared" si="1"/>
        <v>0</v>
      </c>
      <c r="L15" s="8">
        <f>INDEX(ActualCRLevy_SAS!$A$2:$D$326,MATCH(CashReserveLevy!$C15,ActualCRLevy_SAS!$B$2:$B$326,0),4)</f>
        <v>0</v>
      </c>
      <c r="M15" s="31" t="str">
        <f t="shared" si="2"/>
        <v/>
      </c>
      <c r="N15" s="1" t="str">
        <f t="shared" si="3"/>
        <v/>
      </c>
      <c r="O15" s="1" t="str">
        <f t="shared" si="5"/>
        <v/>
      </c>
    </row>
    <row r="16" spans="1:15" x14ac:dyDescent="0.2">
      <c r="A16" s="7">
        <v>2026</v>
      </c>
      <c r="B16" s="7" t="s">
        <v>20</v>
      </c>
      <c r="C16" s="7" t="s">
        <v>35</v>
      </c>
      <c r="D16" s="7" t="s">
        <v>687</v>
      </c>
      <c r="E16" s="7" t="s">
        <v>687</v>
      </c>
      <c r="F16" s="7" t="s">
        <v>35</v>
      </c>
      <c r="G16" s="7" t="s">
        <v>36</v>
      </c>
      <c r="H16" s="8">
        <f>ROUND(SUMPRODUCT(SUMIF(Final!$G$4:$G$330,CashReserveLevy!D16:F16,Final!$C$4:$C$330)),0)</f>
        <v>15431908</v>
      </c>
      <c r="I16" s="8">
        <f t="shared" si="4"/>
        <v>3086382</v>
      </c>
      <c r="J16" s="8">
        <f>ROUND(SUMPRODUCT(SUMIF(Final!$G$4:$G$330,CashReserveLevy!D16:F16,Final!$E$4:$E$330)),0)</f>
        <v>5859509</v>
      </c>
      <c r="K16" s="8">
        <f t="shared" si="1"/>
        <v>0</v>
      </c>
      <c r="L16" s="8">
        <f>INDEX(ActualCRLevy_SAS!$A$2:$D$326,MATCH(CashReserveLevy!$C16,ActualCRLevy_SAS!$B$2:$B$326,0),4)</f>
        <v>0</v>
      </c>
      <c r="M16" s="31" t="str">
        <f t="shared" si="2"/>
        <v/>
      </c>
      <c r="N16" s="1" t="str">
        <f t="shared" si="3"/>
        <v/>
      </c>
      <c r="O16" s="1" t="str">
        <f t="shared" si="5"/>
        <v/>
      </c>
    </row>
    <row r="17" spans="1:15" x14ac:dyDescent="0.2">
      <c r="A17" s="7">
        <v>2026</v>
      </c>
      <c r="B17" s="7" t="s">
        <v>37</v>
      </c>
      <c r="C17" s="7" t="s">
        <v>38</v>
      </c>
      <c r="D17" s="7" t="s">
        <v>687</v>
      </c>
      <c r="E17" s="7" t="s">
        <v>687</v>
      </c>
      <c r="F17" s="7" t="s">
        <v>38</v>
      </c>
      <c r="G17" s="7" t="s">
        <v>39</v>
      </c>
      <c r="H17" s="8">
        <f>ROUND(SUMPRODUCT(SUMIF(Final!$G$4:$G$330,CashReserveLevy!D17:F17,Final!$C$4:$C$330)),0)</f>
        <v>4658729</v>
      </c>
      <c r="I17" s="8">
        <f t="shared" si="4"/>
        <v>931746</v>
      </c>
      <c r="J17" s="8">
        <f>ROUND(SUMPRODUCT(SUMIF(Final!$G$4:$G$330,CashReserveLevy!D17:F17,Final!$E$4:$E$330)),0)</f>
        <v>448207</v>
      </c>
      <c r="K17" s="8">
        <f t="shared" si="1"/>
        <v>483539</v>
      </c>
      <c r="L17" s="8">
        <f>INDEX(ActualCRLevy_SAS!$A$2:$D$326,MATCH(CashReserveLevy!$C17,ActualCRLevy_SAS!$B$2:$B$326,0),4)</f>
        <v>234020</v>
      </c>
      <c r="M17" s="31" t="str">
        <f t="shared" si="2"/>
        <v/>
      </c>
      <c r="N17" s="1" t="str">
        <f t="shared" si="3"/>
        <v/>
      </c>
      <c r="O17" s="1" t="str">
        <f t="shared" si="5"/>
        <v/>
      </c>
    </row>
    <row r="18" spans="1:15" x14ac:dyDescent="0.2">
      <c r="A18" s="7">
        <v>2026</v>
      </c>
      <c r="B18" s="7" t="s">
        <v>0</v>
      </c>
      <c r="C18" s="7" t="s">
        <v>40</v>
      </c>
      <c r="D18" s="7" t="s">
        <v>687</v>
      </c>
      <c r="E18" s="7" t="s">
        <v>687</v>
      </c>
      <c r="F18" s="7" t="s">
        <v>40</v>
      </c>
      <c r="G18" s="7" t="s">
        <v>41</v>
      </c>
      <c r="H18" s="8">
        <f>ROUND(SUMPRODUCT(SUMIF(Final!$G$4:$G$330,CashReserveLevy!D18:F18,Final!$C$4:$C$330)),0)</f>
        <v>164007723</v>
      </c>
      <c r="I18" s="8">
        <f t="shared" si="4"/>
        <v>32801545</v>
      </c>
      <c r="J18" s="8">
        <f>ROUND(SUMPRODUCT(SUMIF(Final!$G$4:$G$330,CashReserveLevy!D18:F18,Final!$E$4:$E$330)),0)</f>
        <v>16833353</v>
      </c>
      <c r="K18" s="8">
        <f t="shared" si="1"/>
        <v>15968192</v>
      </c>
      <c r="L18" s="8">
        <f>INDEX(ActualCRLevy_SAS!$A$2:$D$326,MATCH(CashReserveLevy!$C18,ActualCRLevy_SAS!$B$2:$B$326,0),4)</f>
        <v>10750000</v>
      </c>
      <c r="M18" s="31" t="str">
        <f t="shared" si="2"/>
        <v/>
      </c>
      <c r="N18" s="1" t="str">
        <f t="shared" si="3"/>
        <v/>
      </c>
      <c r="O18" s="1" t="str">
        <f t="shared" si="5"/>
        <v/>
      </c>
    </row>
    <row r="19" spans="1:15" x14ac:dyDescent="0.2">
      <c r="A19" s="7">
        <v>2026</v>
      </c>
      <c r="B19" s="7" t="s">
        <v>5</v>
      </c>
      <c r="C19" s="7" t="s">
        <v>42</v>
      </c>
      <c r="D19" s="7" t="s">
        <v>687</v>
      </c>
      <c r="E19" s="7" t="s">
        <v>687</v>
      </c>
      <c r="F19" s="7" t="s">
        <v>42</v>
      </c>
      <c r="G19" s="7" t="s">
        <v>43</v>
      </c>
      <c r="H19" s="8">
        <f>ROUND(SUMPRODUCT(SUMIF(Final!$G$4:$G$330,CashReserveLevy!D19:F19,Final!$C$4:$C$330)),0)</f>
        <v>10493388</v>
      </c>
      <c r="I19" s="8">
        <f t="shared" si="4"/>
        <v>2098678</v>
      </c>
      <c r="J19" s="8">
        <f>ROUND(SUMPRODUCT(SUMIF(Final!$G$4:$G$330,CashReserveLevy!D19:F19,Final!$E$4:$E$330)),0)</f>
        <v>3343883</v>
      </c>
      <c r="K19" s="8">
        <f t="shared" si="1"/>
        <v>0</v>
      </c>
      <c r="L19" s="8">
        <f>INDEX(ActualCRLevy_SAS!$A$2:$D$326,MATCH(CashReserveLevy!$C19,ActualCRLevy_SAS!$B$2:$B$326,0),4)</f>
        <v>0</v>
      </c>
      <c r="M19" s="31" t="str">
        <f t="shared" si="2"/>
        <v/>
      </c>
      <c r="N19" s="1" t="str">
        <f t="shared" si="3"/>
        <v/>
      </c>
      <c r="O19" s="1" t="str">
        <f t="shared" si="5"/>
        <v/>
      </c>
    </row>
    <row r="20" spans="1:15" x14ac:dyDescent="0.2">
      <c r="A20" s="7">
        <v>2026</v>
      </c>
      <c r="B20" s="7" t="s">
        <v>11</v>
      </c>
      <c r="C20" s="7" t="s">
        <v>44</v>
      </c>
      <c r="D20" s="7" t="s">
        <v>687</v>
      </c>
      <c r="E20" s="7" t="s">
        <v>687</v>
      </c>
      <c r="F20" s="7" t="s">
        <v>44</v>
      </c>
      <c r="G20" s="7" t="s">
        <v>45</v>
      </c>
      <c r="H20" s="8">
        <f>ROUND(SUMPRODUCT(SUMIF(Final!$G$4:$G$330,CashReserveLevy!D20:F20,Final!$C$4:$C$330)),0)</f>
        <v>3771806</v>
      </c>
      <c r="I20" s="8">
        <f t="shared" si="4"/>
        <v>754361</v>
      </c>
      <c r="J20" s="8">
        <f>ROUND(SUMPRODUCT(SUMIF(Final!$G$4:$G$330,CashReserveLevy!D20:F20,Final!$E$4:$E$330)),0)</f>
        <v>2760760</v>
      </c>
      <c r="K20" s="8">
        <f t="shared" si="1"/>
        <v>0</v>
      </c>
      <c r="L20" s="8">
        <f>INDEX(ActualCRLevy_SAS!$A$2:$D$326,MATCH(CashReserveLevy!$C20,ActualCRLevy_SAS!$B$2:$B$326,0),4)</f>
        <v>0</v>
      </c>
      <c r="M20" s="31" t="str">
        <f t="shared" si="2"/>
        <v/>
      </c>
      <c r="N20" s="1" t="str">
        <f t="shared" si="3"/>
        <v/>
      </c>
      <c r="O20" s="1" t="str">
        <f t="shared" si="5"/>
        <v/>
      </c>
    </row>
    <row r="21" spans="1:15" x14ac:dyDescent="0.2">
      <c r="A21" s="7">
        <v>2026</v>
      </c>
      <c r="B21" s="7" t="s">
        <v>8</v>
      </c>
      <c r="C21" s="7" t="s">
        <v>46</v>
      </c>
      <c r="D21" s="7" t="s">
        <v>687</v>
      </c>
      <c r="E21" s="7" t="s">
        <v>687</v>
      </c>
      <c r="F21" s="7" t="s">
        <v>46</v>
      </c>
      <c r="G21" s="7" t="s">
        <v>47</v>
      </c>
      <c r="H21" s="8">
        <f>ROUND(SUMPRODUCT(SUMIF(Final!$G$4:$G$330,CashReserveLevy!D21:F21,Final!$C$4:$C$330)),0)</f>
        <v>19748116</v>
      </c>
      <c r="I21" s="8">
        <f t="shared" si="4"/>
        <v>3949623</v>
      </c>
      <c r="J21" s="8">
        <f>ROUND(SUMPRODUCT(SUMIF(Final!$G$4:$G$330,CashReserveLevy!D21:F21,Final!$E$4:$E$330)),0)</f>
        <v>5401605</v>
      </c>
      <c r="K21" s="8">
        <f t="shared" si="1"/>
        <v>0</v>
      </c>
      <c r="L21" s="8">
        <f>INDEX(ActualCRLevy_SAS!$A$2:$D$326,MATCH(CashReserveLevy!$C21,ActualCRLevy_SAS!$B$2:$B$326,0),4)</f>
        <v>0</v>
      </c>
      <c r="M21" s="31" t="str">
        <f t="shared" si="2"/>
        <v/>
      </c>
      <c r="N21" s="1" t="str">
        <f t="shared" si="3"/>
        <v/>
      </c>
      <c r="O21" s="1" t="str">
        <f t="shared" si="5"/>
        <v/>
      </c>
    </row>
    <row r="22" spans="1:15" x14ac:dyDescent="0.2">
      <c r="A22" s="7">
        <v>2026</v>
      </c>
      <c r="B22" s="7" t="s">
        <v>0</v>
      </c>
      <c r="C22" s="7" t="s">
        <v>48</v>
      </c>
      <c r="D22" s="7" t="s">
        <v>687</v>
      </c>
      <c r="E22" s="7" t="s">
        <v>687</v>
      </c>
      <c r="F22" s="7" t="s">
        <v>48</v>
      </c>
      <c r="G22" s="7" t="s">
        <v>49</v>
      </c>
      <c r="H22" s="8">
        <f>ROUND(SUMPRODUCT(SUMIF(Final!$G$4:$G$330,CashReserveLevy!D22:F22,Final!$C$4:$C$330)),0)</f>
        <v>7771309</v>
      </c>
      <c r="I22" s="8">
        <f t="shared" si="4"/>
        <v>1554262</v>
      </c>
      <c r="J22" s="8">
        <f>ROUND(SUMPRODUCT(SUMIF(Final!$G$4:$G$330,CashReserveLevy!D22:F22,Final!$E$4:$E$330)),0)</f>
        <v>2082294</v>
      </c>
      <c r="K22" s="8">
        <f t="shared" si="1"/>
        <v>0</v>
      </c>
      <c r="L22" s="8">
        <f>INDEX(ActualCRLevy_SAS!$A$2:$D$326,MATCH(CashReserveLevy!$C22,ActualCRLevy_SAS!$B$2:$B$326,0),4)</f>
        <v>0</v>
      </c>
      <c r="M22" s="31" t="str">
        <f t="shared" si="2"/>
        <v/>
      </c>
      <c r="N22" s="1" t="str">
        <f t="shared" si="3"/>
        <v/>
      </c>
      <c r="O22" s="1" t="str">
        <f t="shared" si="5"/>
        <v/>
      </c>
    </row>
    <row r="23" spans="1:15" x14ac:dyDescent="0.2">
      <c r="A23" s="7">
        <v>2026</v>
      </c>
      <c r="B23" s="7" t="s">
        <v>0</v>
      </c>
      <c r="C23" s="7" t="s">
        <v>50</v>
      </c>
      <c r="D23" s="7" t="s">
        <v>687</v>
      </c>
      <c r="E23" s="7" t="s">
        <v>687</v>
      </c>
      <c r="F23" s="7" t="s">
        <v>50</v>
      </c>
      <c r="G23" s="7" t="s">
        <v>51</v>
      </c>
      <c r="H23" s="8">
        <f>ROUND(SUMPRODUCT(SUMIF(Final!$G$4:$G$330,CashReserveLevy!D23:F23,Final!$C$4:$C$330)),0)</f>
        <v>24250017</v>
      </c>
      <c r="I23" s="8">
        <f t="shared" si="4"/>
        <v>4850003</v>
      </c>
      <c r="J23" s="8">
        <f>ROUND(SUMPRODUCT(SUMIF(Final!$G$4:$G$330,CashReserveLevy!D23:F23,Final!$E$4:$E$330)),0)</f>
        <v>1968321</v>
      </c>
      <c r="K23" s="8">
        <f t="shared" si="1"/>
        <v>2881682</v>
      </c>
      <c r="L23" s="8">
        <f>INDEX(ActualCRLevy_SAS!$A$2:$D$326,MATCH(CashReserveLevy!$C23,ActualCRLevy_SAS!$B$2:$B$326,0),4)</f>
        <v>2115000</v>
      </c>
      <c r="M23" s="31" t="str">
        <f t="shared" si="2"/>
        <v/>
      </c>
      <c r="N23" s="1" t="str">
        <f t="shared" si="3"/>
        <v/>
      </c>
      <c r="O23" s="1" t="str">
        <f t="shared" si="5"/>
        <v/>
      </c>
    </row>
    <row r="24" spans="1:15" x14ac:dyDescent="0.2">
      <c r="A24" s="7">
        <v>2026</v>
      </c>
      <c r="B24" s="7" t="s">
        <v>0</v>
      </c>
      <c r="C24" s="7" t="s">
        <v>52</v>
      </c>
      <c r="D24" s="7" t="s">
        <v>687</v>
      </c>
      <c r="E24" s="7" t="s">
        <v>687</v>
      </c>
      <c r="F24" s="7" t="s">
        <v>52</v>
      </c>
      <c r="G24" s="7" t="s">
        <v>53</v>
      </c>
      <c r="H24" s="8">
        <f>ROUND(SUMPRODUCT(SUMIF(Final!$G$4:$G$330,CashReserveLevy!D24:F24,Final!$C$4:$C$330)),0)</f>
        <v>5835339</v>
      </c>
      <c r="I24" s="8">
        <f t="shared" si="4"/>
        <v>1167068</v>
      </c>
      <c r="J24" s="8">
        <f>ROUND(SUMPRODUCT(SUMIF(Final!$G$4:$G$330,CashReserveLevy!D24:F24,Final!$E$4:$E$330)),0)</f>
        <v>657131</v>
      </c>
      <c r="K24" s="8">
        <f t="shared" si="1"/>
        <v>509937</v>
      </c>
      <c r="L24" s="8">
        <f>INDEX(ActualCRLevy_SAS!$A$2:$D$326,MATCH(CashReserveLevy!$C24,ActualCRLevy_SAS!$B$2:$B$326,0),4)</f>
        <v>365268</v>
      </c>
      <c r="M24" s="31" t="str">
        <f t="shared" si="2"/>
        <v/>
      </c>
      <c r="N24" s="1" t="str">
        <f t="shared" si="3"/>
        <v/>
      </c>
      <c r="O24" s="1" t="str">
        <f t="shared" si="5"/>
        <v/>
      </c>
    </row>
    <row r="25" spans="1:15" x14ac:dyDescent="0.2">
      <c r="A25" s="7">
        <v>2026</v>
      </c>
      <c r="B25" s="7" t="s">
        <v>5</v>
      </c>
      <c r="C25" s="7" t="s">
        <v>54</v>
      </c>
      <c r="D25" s="7" t="s">
        <v>687</v>
      </c>
      <c r="E25" s="7" t="s">
        <v>687</v>
      </c>
      <c r="F25" s="7" t="s">
        <v>54</v>
      </c>
      <c r="G25" s="7" t="s">
        <v>55</v>
      </c>
      <c r="H25" s="8">
        <f>ROUND(SUMPRODUCT(SUMIF(Final!$G$4:$G$330,CashReserveLevy!D25:F25,Final!$C$4:$C$330)),0)</f>
        <v>8339332</v>
      </c>
      <c r="I25" s="8">
        <f t="shared" si="4"/>
        <v>1667866</v>
      </c>
      <c r="J25" s="8">
        <f>ROUND(SUMPRODUCT(SUMIF(Final!$G$4:$G$330,CashReserveLevy!D25:F25,Final!$E$4:$E$330)),0)</f>
        <v>1081522</v>
      </c>
      <c r="K25" s="8">
        <f t="shared" si="1"/>
        <v>586344</v>
      </c>
      <c r="L25" s="8">
        <f>INDEX(ActualCRLevy_SAS!$A$2:$D$326,MATCH(CashReserveLevy!$C25,ActualCRLevy_SAS!$B$2:$B$326,0),4)</f>
        <v>586344</v>
      </c>
      <c r="M25" s="31" t="str">
        <f t="shared" si="2"/>
        <v>Max</v>
      </c>
      <c r="N25" s="1" t="str">
        <f t="shared" si="3"/>
        <v/>
      </c>
      <c r="O25" s="1" t="str">
        <f t="shared" si="5"/>
        <v/>
      </c>
    </row>
    <row r="26" spans="1:15" x14ac:dyDescent="0.2">
      <c r="A26" s="7">
        <v>2026</v>
      </c>
      <c r="B26" s="7" t="s">
        <v>8</v>
      </c>
      <c r="C26" s="7" t="s">
        <v>56</v>
      </c>
      <c r="D26" s="7" t="s">
        <v>687</v>
      </c>
      <c r="E26" s="7" t="s">
        <v>687</v>
      </c>
      <c r="F26" s="7" t="s">
        <v>56</v>
      </c>
      <c r="G26" s="7" t="s">
        <v>57</v>
      </c>
      <c r="H26" s="8">
        <f>ROUND(SUMPRODUCT(SUMIF(Final!$G$4:$G$330,CashReserveLevy!D26:F26,Final!$C$4:$C$330)),0)</f>
        <v>7318636</v>
      </c>
      <c r="I26" s="8">
        <f t="shared" si="4"/>
        <v>1463727</v>
      </c>
      <c r="J26" s="8">
        <f>ROUND(SUMPRODUCT(SUMIF(Final!$G$4:$G$330,CashReserveLevy!D26:F26,Final!$E$4:$E$330)),0)</f>
        <v>1507800</v>
      </c>
      <c r="K26" s="8">
        <f t="shared" si="1"/>
        <v>0</v>
      </c>
      <c r="L26" s="8">
        <f>INDEX(ActualCRLevy_SAS!$A$2:$D$326,MATCH(CashReserveLevy!$C26,ActualCRLevy_SAS!$B$2:$B$326,0),4)</f>
        <v>0</v>
      </c>
      <c r="M26" s="31" t="str">
        <f t="shared" si="2"/>
        <v/>
      </c>
      <c r="N26" s="1" t="str">
        <f t="shared" si="3"/>
        <v/>
      </c>
      <c r="O26" s="1" t="str">
        <f t="shared" si="5"/>
        <v/>
      </c>
    </row>
    <row r="27" spans="1:15" x14ac:dyDescent="0.2">
      <c r="A27" s="7">
        <v>2026</v>
      </c>
      <c r="B27" s="7" t="s">
        <v>20</v>
      </c>
      <c r="C27" s="7" t="s">
        <v>58</v>
      </c>
      <c r="D27" s="7" t="s">
        <v>687</v>
      </c>
      <c r="E27" s="7" t="s">
        <v>687</v>
      </c>
      <c r="F27" s="7" t="s">
        <v>58</v>
      </c>
      <c r="G27" s="7" t="s">
        <v>59</v>
      </c>
      <c r="H27" s="8">
        <f>ROUND(SUMPRODUCT(SUMIF(Final!$G$4:$G$330,CashReserveLevy!D27:F27,Final!$C$4:$C$330)),0)</f>
        <v>6683096</v>
      </c>
      <c r="I27" s="8">
        <f t="shared" si="4"/>
        <v>1336619</v>
      </c>
      <c r="J27" s="8">
        <f>ROUND(SUMPRODUCT(SUMIF(Final!$G$4:$G$330,CashReserveLevy!D27:F27,Final!$E$4:$E$330)),0)</f>
        <v>1508550</v>
      </c>
      <c r="K27" s="8">
        <f t="shared" si="1"/>
        <v>0</v>
      </c>
      <c r="L27" s="8">
        <f>INDEX(ActualCRLevy_SAS!$A$2:$D$326,MATCH(CashReserveLevy!$C27,ActualCRLevy_SAS!$B$2:$B$326,0),4)</f>
        <v>0</v>
      </c>
      <c r="M27" s="31" t="str">
        <f t="shared" si="2"/>
        <v/>
      </c>
      <c r="N27" s="1" t="str">
        <f t="shared" si="3"/>
        <v/>
      </c>
      <c r="O27" s="1" t="str">
        <f t="shared" si="5"/>
        <v/>
      </c>
    </row>
    <row r="28" spans="1:15" x14ac:dyDescent="0.2">
      <c r="A28" s="7">
        <v>2026</v>
      </c>
      <c r="B28" s="7" t="s">
        <v>37</v>
      </c>
      <c r="C28" s="7" t="s">
        <v>60</v>
      </c>
      <c r="D28" s="7" t="s">
        <v>687</v>
      </c>
      <c r="E28" s="7" t="s">
        <v>687</v>
      </c>
      <c r="F28" s="7" t="s">
        <v>60</v>
      </c>
      <c r="G28" s="7" t="s">
        <v>61</v>
      </c>
      <c r="H28" s="8">
        <f>ROUND(SUMPRODUCT(SUMIF(Final!$G$4:$G$330,CashReserveLevy!D28:F28,Final!$C$4:$C$330)),0)</f>
        <v>8891469</v>
      </c>
      <c r="I28" s="8">
        <f t="shared" si="4"/>
        <v>1778294</v>
      </c>
      <c r="J28" s="8">
        <f>ROUND(SUMPRODUCT(SUMIF(Final!$G$4:$G$330,CashReserveLevy!D28:F28,Final!$E$4:$E$330)),0)</f>
        <v>2064724</v>
      </c>
      <c r="K28" s="8">
        <f t="shared" si="1"/>
        <v>0</v>
      </c>
      <c r="L28" s="8">
        <f>INDEX(ActualCRLevy_SAS!$A$2:$D$326,MATCH(CashReserveLevy!$C28,ActualCRLevy_SAS!$B$2:$B$326,0),4)</f>
        <v>0</v>
      </c>
      <c r="M28" s="31" t="str">
        <f t="shared" si="2"/>
        <v/>
      </c>
      <c r="N28" s="1" t="str">
        <f t="shared" si="3"/>
        <v/>
      </c>
      <c r="O28" s="1" t="str">
        <f t="shared" si="5"/>
        <v/>
      </c>
    </row>
    <row r="29" spans="1:15" x14ac:dyDescent="0.2">
      <c r="A29" s="7">
        <v>2026</v>
      </c>
      <c r="B29" s="7" t="s">
        <v>5</v>
      </c>
      <c r="C29" s="7" t="s">
        <v>62</v>
      </c>
      <c r="D29" s="7" t="s">
        <v>687</v>
      </c>
      <c r="E29" s="7" t="s">
        <v>687</v>
      </c>
      <c r="F29" s="7" t="s">
        <v>62</v>
      </c>
      <c r="G29" s="7" t="s">
        <v>63</v>
      </c>
      <c r="H29" s="8">
        <f>ROUND(SUMPRODUCT(SUMIF(Final!$G$4:$G$330,CashReserveLevy!D29:F29,Final!$C$4:$C$330)),0)</f>
        <v>10347656</v>
      </c>
      <c r="I29" s="8">
        <f t="shared" si="4"/>
        <v>2069531</v>
      </c>
      <c r="J29" s="8">
        <f>ROUND(SUMPRODUCT(SUMIF(Final!$G$4:$G$330,CashReserveLevy!D29:F29,Final!$E$4:$E$330)),0)</f>
        <v>1631627</v>
      </c>
      <c r="K29" s="8">
        <f t="shared" si="1"/>
        <v>437904</v>
      </c>
      <c r="L29" s="8">
        <f>INDEX(ActualCRLevy_SAS!$A$2:$D$326,MATCH(CashReserveLevy!$C29,ActualCRLevy_SAS!$B$2:$B$326,0),4)</f>
        <v>400000</v>
      </c>
      <c r="M29" s="31" t="str">
        <f t="shared" si="2"/>
        <v/>
      </c>
      <c r="N29" s="1" t="str">
        <f t="shared" si="3"/>
        <v/>
      </c>
      <c r="O29" s="1" t="str">
        <f t="shared" si="5"/>
        <v/>
      </c>
    </row>
    <row r="30" spans="1:15" x14ac:dyDescent="0.2">
      <c r="A30" s="7">
        <v>2026</v>
      </c>
      <c r="B30" s="7" t="s">
        <v>37</v>
      </c>
      <c r="C30" s="7" t="s">
        <v>64</v>
      </c>
      <c r="D30" s="7" t="s">
        <v>687</v>
      </c>
      <c r="E30" s="7" t="s">
        <v>687</v>
      </c>
      <c r="F30" s="7" t="s">
        <v>64</v>
      </c>
      <c r="G30" s="7" t="s">
        <v>65</v>
      </c>
      <c r="H30" s="8">
        <f>ROUND(SUMPRODUCT(SUMIF(Final!$G$4:$G$330,CashReserveLevy!D30:F30,Final!$C$4:$C$330)),0)</f>
        <v>2717311</v>
      </c>
      <c r="I30" s="8">
        <f t="shared" si="4"/>
        <v>543462</v>
      </c>
      <c r="J30" s="8">
        <f>ROUND(SUMPRODUCT(SUMIF(Final!$G$4:$G$330,CashReserveLevy!D30:F30,Final!$E$4:$E$330)),0)</f>
        <v>1231816</v>
      </c>
      <c r="K30" s="8">
        <f t="shared" si="1"/>
        <v>0</v>
      </c>
      <c r="L30" s="8">
        <f>INDEX(ActualCRLevy_SAS!$A$2:$D$326,MATCH(CashReserveLevy!$C30,ActualCRLevy_SAS!$B$2:$B$326,0),4)</f>
        <v>0</v>
      </c>
      <c r="M30" s="31" t="str">
        <f t="shared" si="2"/>
        <v/>
      </c>
      <c r="N30" s="1" t="str">
        <f t="shared" si="3"/>
        <v/>
      </c>
      <c r="O30" s="1" t="str">
        <f t="shared" si="5"/>
        <v/>
      </c>
    </row>
    <row r="31" spans="1:15" x14ac:dyDescent="0.2">
      <c r="A31" s="7">
        <v>2026</v>
      </c>
      <c r="B31" s="7" t="s">
        <v>20</v>
      </c>
      <c r="C31" s="7" t="s">
        <v>66</v>
      </c>
      <c r="D31" s="7" t="s">
        <v>687</v>
      </c>
      <c r="E31" s="7" t="s">
        <v>687</v>
      </c>
      <c r="F31" s="7" t="s">
        <v>66</v>
      </c>
      <c r="G31" s="7" t="s">
        <v>67</v>
      </c>
      <c r="H31" s="8">
        <f>ROUND(SUMPRODUCT(SUMIF(Final!$G$4:$G$330,CashReserveLevy!D31:F31,Final!$C$4:$C$330)),0)</f>
        <v>18782045</v>
      </c>
      <c r="I31" s="8">
        <f t="shared" si="4"/>
        <v>3756409</v>
      </c>
      <c r="J31" s="8">
        <f>ROUND(SUMPRODUCT(SUMIF(Final!$G$4:$G$330,CashReserveLevy!D31:F31,Final!$E$4:$E$330)),0)</f>
        <v>6942570</v>
      </c>
      <c r="K31" s="8">
        <f t="shared" si="1"/>
        <v>0</v>
      </c>
      <c r="L31" s="8">
        <f>INDEX(ActualCRLevy_SAS!$A$2:$D$326,MATCH(CashReserveLevy!$C31,ActualCRLevy_SAS!$B$2:$B$326,0),4)</f>
        <v>0</v>
      </c>
      <c r="M31" s="31" t="str">
        <f t="shared" si="2"/>
        <v/>
      </c>
      <c r="N31" s="1" t="str">
        <f t="shared" si="3"/>
        <v/>
      </c>
      <c r="O31" s="1" t="str">
        <f t="shared" si="5"/>
        <v/>
      </c>
    </row>
    <row r="32" spans="1:15" x14ac:dyDescent="0.2">
      <c r="A32" s="7">
        <v>2026</v>
      </c>
      <c r="B32" s="7" t="s">
        <v>37</v>
      </c>
      <c r="C32" s="7" t="s">
        <v>68</v>
      </c>
      <c r="D32" s="7" t="s">
        <v>687</v>
      </c>
      <c r="E32" s="7" t="s">
        <v>687</v>
      </c>
      <c r="F32" s="7" t="s">
        <v>68</v>
      </c>
      <c r="G32" s="7" t="s">
        <v>69</v>
      </c>
      <c r="H32" s="8">
        <f>ROUND(SUMPRODUCT(SUMIF(Final!$G$4:$G$330,CashReserveLevy!D32:F32,Final!$C$4:$C$330)),0)</f>
        <v>57111840</v>
      </c>
      <c r="I32" s="8">
        <f t="shared" si="4"/>
        <v>11422368</v>
      </c>
      <c r="J32" s="8">
        <f>ROUND(SUMPRODUCT(SUMIF(Final!$G$4:$G$330,CashReserveLevy!D32:F32,Final!$E$4:$E$330)),0)</f>
        <v>12067916</v>
      </c>
      <c r="K32" s="8">
        <f t="shared" si="1"/>
        <v>0</v>
      </c>
      <c r="L32" s="8">
        <f>INDEX(ActualCRLevy_SAS!$A$2:$D$326,MATCH(CashReserveLevy!$C32,ActualCRLevy_SAS!$B$2:$B$326,0),4)</f>
        <v>0</v>
      </c>
      <c r="M32" s="31" t="str">
        <f t="shared" si="2"/>
        <v/>
      </c>
      <c r="N32" s="1" t="str">
        <f t="shared" si="3"/>
        <v/>
      </c>
      <c r="O32" s="1" t="str">
        <f t="shared" si="5"/>
        <v/>
      </c>
    </row>
    <row r="33" spans="1:15" x14ac:dyDescent="0.2">
      <c r="A33" s="7">
        <v>2026</v>
      </c>
      <c r="B33" s="7" t="s">
        <v>0</v>
      </c>
      <c r="C33" s="7" t="s">
        <v>70</v>
      </c>
      <c r="D33" s="7" t="s">
        <v>687</v>
      </c>
      <c r="E33" s="7" t="s">
        <v>687</v>
      </c>
      <c r="F33" s="7" t="s">
        <v>70</v>
      </c>
      <c r="G33" s="7" t="s">
        <v>71</v>
      </c>
      <c r="H33" s="8">
        <f>ROUND(SUMPRODUCT(SUMIF(Final!$G$4:$G$330,CashReserveLevy!D33:F33,Final!$C$4:$C$330)),0)</f>
        <v>32136218</v>
      </c>
      <c r="I33" s="8">
        <f t="shared" si="4"/>
        <v>6427244</v>
      </c>
      <c r="J33" s="8">
        <f>ROUND(SUMPRODUCT(SUMIF(Final!$G$4:$G$330,CashReserveLevy!D33:F33,Final!$E$4:$E$330)),0)</f>
        <v>4272580</v>
      </c>
      <c r="K33" s="8">
        <f t="shared" si="1"/>
        <v>2154664</v>
      </c>
      <c r="L33" s="8">
        <f>INDEX(ActualCRLevy_SAS!$A$2:$D$326,MATCH(CashReserveLevy!$C33,ActualCRLevy_SAS!$B$2:$B$326,0),4)</f>
        <v>1006904</v>
      </c>
      <c r="M33" s="31" t="str">
        <f t="shared" si="2"/>
        <v/>
      </c>
      <c r="N33" s="1" t="str">
        <f t="shared" si="3"/>
        <v/>
      </c>
      <c r="O33" s="1" t="str">
        <f t="shared" si="5"/>
        <v/>
      </c>
    </row>
    <row r="34" spans="1:15" x14ac:dyDescent="0.2">
      <c r="A34" s="7">
        <v>2026</v>
      </c>
      <c r="B34" s="7" t="s">
        <v>0</v>
      </c>
      <c r="C34" s="7" t="s">
        <v>72</v>
      </c>
      <c r="D34" s="7" t="s">
        <v>687</v>
      </c>
      <c r="E34" s="7" t="s">
        <v>687</v>
      </c>
      <c r="F34" s="7" t="s">
        <v>72</v>
      </c>
      <c r="G34" s="7" t="s">
        <v>73</v>
      </c>
      <c r="H34" s="8">
        <f>ROUND(SUMPRODUCT(SUMIF(Final!$G$4:$G$330,CashReserveLevy!D34:F34,Final!$C$4:$C$330)),0)</f>
        <v>28499659</v>
      </c>
      <c r="I34" s="8">
        <f t="shared" si="4"/>
        <v>5699932</v>
      </c>
      <c r="J34" s="8">
        <f>ROUND(SUMPRODUCT(SUMIF(Final!$G$4:$G$330,CashReserveLevy!D34:F34,Final!$E$4:$E$330)),0)</f>
        <v>5614162</v>
      </c>
      <c r="K34" s="8">
        <f t="shared" si="1"/>
        <v>85770</v>
      </c>
      <c r="L34" s="8">
        <f>INDEX(ActualCRLevy_SAS!$A$2:$D$326,MATCH(CashReserveLevy!$C34,ActualCRLevy_SAS!$B$2:$B$326,0),4)</f>
        <v>85770</v>
      </c>
      <c r="M34" s="31" t="str">
        <f t="shared" si="2"/>
        <v>Max</v>
      </c>
      <c r="N34" s="1" t="str">
        <f t="shared" si="3"/>
        <v/>
      </c>
      <c r="O34" s="1" t="str">
        <f t="shared" si="5"/>
        <v/>
      </c>
    </row>
    <row r="35" spans="1:15" x14ac:dyDescent="0.2">
      <c r="A35" s="7">
        <v>2026</v>
      </c>
      <c r="B35" s="7" t="s">
        <v>11</v>
      </c>
      <c r="C35" s="7" t="s">
        <v>74</v>
      </c>
      <c r="D35" s="7" t="s">
        <v>687</v>
      </c>
      <c r="E35" s="7" t="s">
        <v>687</v>
      </c>
      <c r="F35" s="7" t="s">
        <v>74</v>
      </c>
      <c r="G35" s="7" t="s">
        <v>75</v>
      </c>
      <c r="H35" s="8">
        <f>ROUND(SUMPRODUCT(SUMIF(Final!$G$4:$G$330,CashReserveLevy!D35:F35,Final!$C$4:$C$330)),0)</f>
        <v>8254593</v>
      </c>
      <c r="I35" s="8">
        <f t="shared" si="4"/>
        <v>1650919</v>
      </c>
      <c r="J35" s="8">
        <f>ROUND(SUMPRODUCT(SUMIF(Final!$G$4:$G$330,CashReserveLevy!D35:F35,Final!$E$4:$E$330)),0)</f>
        <v>2013587</v>
      </c>
      <c r="K35" s="8">
        <f t="shared" si="1"/>
        <v>0</v>
      </c>
      <c r="L35" s="8">
        <f>INDEX(ActualCRLevy_SAS!$A$2:$D$326,MATCH(CashReserveLevy!$C35,ActualCRLevy_SAS!$B$2:$B$326,0),4)</f>
        <v>0</v>
      </c>
      <c r="M35" s="31" t="str">
        <f t="shared" si="2"/>
        <v/>
      </c>
      <c r="N35" s="1" t="str">
        <f t="shared" si="3"/>
        <v/>
      </c>
      <c r="O35" s="1" t="str">
        <f t="shared" si="5"/>
        <v/>
      </c>
    </row>
    <row r="36" spans="1:15" x14ac:dyDescent="0.2">
      <c r="A36" s="7">
        <v>2026</v>
      </c>
      <c r="B36" s="7" t="s">
        <v>8</v>
      </c>
      <c r="C36" s="7" t="s">
        <v>76</v>
      </c>
      <c r="D36" s="7" t="s">
        <v>687</v>
      </c>
      <c r="E36" s="7" t="s">
        <v>687</v>
      </c>
      <c r="F36" s="7" t="s">
        <v>76</v>
      </c>
      <c r="G36" s="7" t="s">
        <v>77</v>
      </c>
      <c r="H36" s="8">
        <f>ROUND(SUMPRODUCT(SUMIF(Final!$G$4:$G$330,CashReserveLevy!D36:F36,Final!$C$4:$C$330)),0)</f>
        <v>5604489</v>
      </c>
      <c r="I36" s="8">
        <f t="shared" si="4"/>
        <v>1120898</v>
      </c>
      <c r="J36" s="8">
        <f>ROUND(SUMPRODUCT(SUMIF(Final!$G$4:$G$330,CashReserveLevy!D36:F36,Final!$E$4:$E$330)),0)</f>
        <v>2626985</v>
      </c>
      <c r="K36" s="8">
        <f t="shared" si="1"/>
        <v>0</v>
      </c>
      <c r="L36" s="8">
        <f>INDEX(ActualCRLevy_SAS!$A$2:$D$326,MATCH(CashReserveLevy!$C36,ActualCRLevy_SAS!$B$2:$B$326,0),4)</f>
        <v>0</v>
      </c>
      <c r="M36" s="31" t="str">
        <f t="shared" si="2"/>
        <v/>
      </c>
      <c r="N36" s="1" t="str">
        <f t="shared" si="3"/>
        <v/>
      </c>
      <c r="O36" s="1" t="str">
        <f t="shared" si="5"/>
        <v/>
      </c>
    </row>
    <row r="37" spans="1:15" x14ac:dyDescent="0.2">
      <c r="A37" s="7">
        <v>2026</v>
      </c>
      <c r="B37" s="7" t="s">
        <v>5</v>
      </c>
      <c r="C37" s="7" t="s">
        <v>78</v>
      </c>
      <c r="D37" s="7" t="s">
        <v>687</v>
      </c>
      <c r="E37" s="7" t="s">
        <v>687</v>
      </c>
      <c r="F37" s="7" t="s">
        <v>78</v>
      </c>
      <c r="G37" s="7" t="s">
        <v>79</v>
      </c>
      <c r="H37" s="8">
        <f>ROUND(SUMPRODUCT(SUMIF(Final!$G$4:$G$330,CashReserveLevy!D37:F37,Final!$C$4:$C$330)),0)</f>
        <v>7848901</v>
      </c>
      <c r="I37" s="8">
        <f t="shared" si="4"/>
        <v>1569780</v>
      </c>
      <c r="J37" s="8">
        <f>ROUND(SUMPRODUCT(SUMIF(Final!$G$4:$G$330,CashReserveLevy!D37:F37,Final!$E$4:$E$330)),0)</f>
        <v>2491360</v>
      </c>
      <c r="K37" s="8">
        <f t="shared" si="1"/>
        <v>0</v>
      </c>
      <c r="L37" s="8">
        <f>INDEX(ActualCRLevy_SAS!$A$2:$D$326,MATCH(CashReserveLevy!$C37,ActualCRLevy_SAS!$B$2:$B$326,0),4)</f>
        <v>0</v>
      </c>
      <c r="M37" s="31" t="str">
        <f t="shared" si="2"/>
        <v/>
      </c>
      <c r="N37" s="1" t="str">
        <f t="shared" si="3"/>
        <v/>
      </c>
      <c r="O37" s="1" t="str">
        <f t="shared" si="5"/>
        <v/>
      </c>
    </row>
    <row r="38" spans="1:15" x14ac:dyDescent="0.2">
      <c r="A38" s="7">
        <v>2026</v>
      </c>
      <c r="B38" s="7" t="s">
        <v>17</v>
      </c>
      <c r="C38" s="7" t="s">
        <v>80</v>
      </c>
      <c r="D38" s="7" t="s">
        <v>687</v>
      </c>
      <c r="E38" s="7" t="s">
        <v>687</v>
      </c>
      <c r="F38" s="7" t="s">
        <v>80</v>
      </c>
      <c r="G38" s="7" t="s">
        <v>81</v>
      </c>
      <c r="H38" s="8">
        <f>ROUND(SUMPRODUCT(SUMIF(Final!$G$4:$G$330,CashReserveLevy!D38:F38,Final!$C$4:$C$330)),0)</f>
        <v>57994098</v>
      </c>
      <c r="I38" s="8">
        <f t="shared" si="4"/>
        <v>11598820</v>
      </c>
      <c r="J38" s="8">
        <f>ROUND(SUMPRODUCT(SUMIF(Final!$G$4:$G$330,CashReserveLevy!D38:F38,Final!$E$4:$E$330)),0)</f>
        <v>8819916</v>
      </c>
      <c r="K38" s="8">
        <f t="shared" si="1"/>
        <v>2778904</v>
      </c>
      <c r="L38" s="8">
        <f>INDEX(ActualCRLevy_SAS!$A$2:$D$326,MATCH(CashReserveLevy!$C38,ActualCRLevy_SAS!$B$2:$B$326,0),4)</f>
        <v>2778904</v>
      </c>
      <c r="M38" s="31" t="str">
        <f t="shared" si="2"/>
        <v>Max</v>
      </c>
      <c r="N38" s="1" t="str">
        <f t="shared" si="3"/>
        <v/>
      </c>
      <c r="O38" s="1" t="str">
        <f t="shared" si="5"/>
        <v/>
      </c>
    </row>
    <row r="39" spans="1:15" x14ac:dyDescent="0.2">
      <c r="A39" s="7">
        <v>2026</v>
      </c>
      <c r="B39" s="7" t="s">
        <v>5</v>
      </c>
      <c r="C39" s="7" t="s">
        <v>82</v>
      </c>
      <c r="D39" s="7" t="s">
        <v>687</v>
      </c>
      <c r="E39" s="7" t="s">
        <v>687</v>
      </c>
      <c r="F39" s="7" t="s">
        <v>82</v>
      </c>
      <c r="G39" s="7" t="s">
        <v>83</v>
      </c>
      <c r="H39" s="8">
        <f>ROUND(SUMPRODUCT(SUMIF(Final!$G$4:$G$330,CashReserveLevy!D39:F39,Final!$C$4:$C$330)),0)</f>
        <v>4428438</v>
      </c>
      <c r="I39" s="8">
        <f t="shared" si="4"/>
        <v>885688</v>
      </c>
      <c r="J39" s="8">
        <f>ROUND(SUMPRODUCT(SUMIF(Final!$G$4:$G$330,CashReserveLevy!D39:F39,Final!$E$4:$E$330)),0)</f>
        <v>834280</v>
      </c>
      <c r="K39" s="8">
        <f t="shared" si="1"/>
        <v>51408</v>
      </c>
      <c r="L39" s="8">
        <f>INDEX(ActualCRLevy_SAS!$A$2:$D$326,MATCH(CashReserveLevy!$C39,ActualCRLevy_SAS!$B$2:$B$326,0),4)</f>
        <v>51408</v>
      </c>
      <c r="M39" s="31" t="str">
        <f t="shared" si="2"/>
        <v>Max</v>
      </c>
      <c r="N39" s="1" t="str">
        <f t="shared" si="3"/>
        <v/>
      </c>
      <c r="O39" s="1" t="str">
        <f t="shared" si="5"/>
        <v/>
      </c>
    </row>
    <row r="40" spans="1:15" x14ac:dyDescent="0.2">
      <c r="A40" s="7">
        <v>2026</v>
      </c>
      <c r="B40" s="7" t="s">
        <v>37</v>
      </c>
      <c r="C40" s="7" t="s">
        <v>84</v>
      </c>
      <c r="D40" s="7" t="s">
        <v>687</v>
      </c>
      <c r="E40" s="7" t="s">
        <v>687</v>
      </c>
      <c r="F40" s="7" t="s">
        <v>84</v>
      </c>
      <c r="G40" s="7" t="s">
        <v>85</v>
      </c>
      <c r="H40" s="8">
        <f>ROUND(SUMPRODUCT(SUMIF(Final!$G$4:$G$330,CashReserveLevy!D40:F40,Final!$C$4:$C$330)),0)</f>
        <v>5925673</v>
      </c>
      <c r="I40" s="8">
        <f t="shared" si="4"/>
        <v>1185135</v>
      </c>
      <c r="J40" s="8">
        <f>ROUND(SUMPRODUCT(SUMIF(Final!$G$4:$G$330,CashReserveLevy!D40:F40,Final!$E$4:$E$330)),0)</f>
        <v>1144007</v>
      </c>
      <c r="K40" s="8">
        <f t="shared" si="1"/>
        <v>41128</v>
      </c>
      <c r="L40" s="8">
        <f>INDEX(ActualCRLevy_SAS!$A$2:$D$326,MATCH(CashReserveLevy!$C40,ActualCRLevy_SAS!$B$2:$B$326,0),4)</f>
        <v>41128</v>
      </c>
      <c r="M40" s="31" t="str">
        <f t="shared" si="2"/>
        <v>Max</v>
      </c>
      <c r="N40" s="1" t="str">
        <f t="shared" si="3"/>
        <v/>
      </c>
      <c r="O40" s="1" t="str">
        <f t="shared" si="5"/>
        <v/>
      </c>
    </row>
    <row r="41" spans="1:15" x14ac:dyDescent="0.2">
      <c r="A41" s="7">
        <v>2026</v>
      </c>
      <c r="B41" s="7" t="s">
        <v>8</v>
      </c>
      <c r="C41" s="7" t="s">
        <v>86</v>
      </c>
      <c r="D41" s="7" t="s">
        <v>687</v>
      </c>
      <c r="E41" s="7" t="s">
        <v>687</v>
      </c>
      <c r="F41" s="7" t="s">
        <v>86</v>
      </c>
      <c r="G41" s="7" t="s">
        <v>87</v>
      </c>
      <c r="H41" s="8">
        <f>ROUND(SUMPRODUCT(SUMIF(Final!$G$4:$G$330,CashReserveLevy!D41:F41,Final!$C$4:$C$330)),0)</f>
        <v>23365245</v>
      </c>
      <c r="I41" s="8">
        <f t="shared" si="4"/>
        <v>4673049</v>
      </c>
      <c r="J41" s="8">
        <f>ROUND(SUMPRODUCT(SUMIF(Final!$G$4:$G$330,CashReserveLevy!D41:F41,Final!$E$4:$E$330)),0)</f>
        <v>1301968</v>
      </c>
      <c r="K41" s="8">
        <f t="shared" si="1"/>
        <v>3371081</v>
      </c>
      <c r="L41" s="8">
        <f>INDEX(ActualCRLevy_SAS!$A$2:$D$326,MATCH(CashReserveLevy!$C41,ActualCRLevy_SAS!$B$2:$B$326,0),4)</f>
        <v>0</v>
      </c>
      <c r="M41" s="31" t="str">
        <f t="shared" si="2"/>
        <v/>
      </c>
      <c r="N41" s="1" t="str">
        <f t="shared" si="3"/>
        <v>No Levy but have Capacity</v>
      </c>
      <c r="O41" s="1" t="str">
        <f t="shared" si="5"/>
        <v/>
      </c>
    </row>
    <row r="42" spans="1:15" x14ac:dyDescent="0.2">
      <c r="A42" s="7">
        <v>2026</v>
      </c>
      <c r="B42" s="7" t="s">
        <v>37</v>
      </c>
      <c r="C42" s="7" t="s">
        <v>88</v>
      </c>
      <c r="D42" s="7" t="s">
        <v>687</v>
      </c>
      <c r="E42" s="7" t="s">
        <v>687</v>
      </c>
      <c r="F42" s="7" t="s">
        <v>88</v>
      </c>
      <c r="G42" s="7" t="s">
        <v>89</v>
      </c>
      <c r="H42" s="8">
        <f>ROUND(SUMPRODUCT(SUMIF(Final!$G$4:$G$330,CashReserveLevy!D42:F42,Final!$C$4:$C$330)),0)</f>
        <v>13056571</v>
      </c>
      <c r="I42" s="8">
        <f t="shared" si="4"/>
        <v>2611314</v>
      </c>
      <c r="J42" s="8">
        <f>ROUND(SUMPRODUCT(SUMIF(Final!$G$4:$G$330,CashReserveLevy!D42:F42,Final!$E$4:$E$330)),0)</f>
        <v>-185567</v>
      </c>
      <c r="K42" s="8">
        <f t="shared" si="1"/>
        <v>2796881</v>
      </c>
      <c r="L42" s="8">
        <f>INDEX(ActualCRLevy_SAS!$A$2:$D$326,MATCH(CashReserveLevy!$C42,ActualCRLevy_SAS!$B$2:$B$326,0),4)</f>
        <v>1711568</v>
      </c>
      <c r="M42" s="31" t="str">
        <f t="shared" si="2"/>
        <v/>
      </c>
      <c r="N42" s="1" t="str">
        <f t="shared" si="3"/>
        <v/>
      </c>
      <c r="O42" s="1" t="str">
        <f t="shared" si="5"/>
        <v/>
      </c>
    </row>
    <row r="43" spans="1:15" x14ac:dyDescent="0.2">
      <c r="A43" s="7">
        <v>2026</v>
      </c>
      <c r="B43" s="7" t="s">
        <v>17</v>
      </c>
      <c r="C43" s="7" t="s">
        <v>90</v>
      </c>
      <c r="D43" s="7" t="s">
        <v>687</v>
      </c>
      <c r="E43" s="7" t="s">
        <v>687</v>
      </c>
      <c r="F43" s="7" t="s">
        <v>90</v>
      </c>
      <c r="G43" s="7" t="s">
        <v>91</v>
      </c>
      <c r="H43" s="8">
        <f>ROUND(SUMPRODUCT(SUMIF(Final!$G$4:$G$330,CashReserveLevy!D43:F43,Final!$C$4:$C$330)),0)</f>
        <v>13595790</v>
      </c>
      <c r="I43" s="8">
        <f t="shared" si="4"/>
        <v>2719158</v>
      </c>
      <c r="J43" s="8">
        <f>ROUND(SUMPRODUCT(SUMIF(Final!$G$4:$G$330,CashReserveLevy!D43:F43,Final!$E$4:$E$330)),0)</f>
        <v>1957118</v>
      </c>
      <c r="K43" s="8">
        <f t="shared" si="1"/>
        <v>762040</v>
      </c>
      <c r="L43" s="8">
        <f>INDEX(ActualCRLevy_SAS!$A$2:$D$326,MATCH(CashReserveLevy!$C43,ActualCRLevy_SAS!$B$2:$B$326,0),4)</f>
        <v>467647</v>
      </c>
      <c r="M43" s="31" t="str">
        <f t="shared" si="2"/>
        <v/>
      </c>
      <c r="N43" s="1" t="str">
        <f t="shared" si="3"/>
        <v/>
      </c>
      <c r="O43" s="1" t="str">
        <f t="shared" si="5"/>
        <v/>
      </c>
    </row>
    <row r="44" spans="1:15" x14ac:dyDescent="0.2">
      <c r="A44" s="7">
        <v>2026</v>
      </c>
      <c r="B44" s="7" t="s">
        <v>0</v>
      </c>
      <c r="C44" s="7" t="s">
        <v>92</v>
      </c>
      <c r="D44" s="7" t="s">
        <v>687</v>
      </c>
      <c r="E44" s="7" t="s">
        <v>687</v>
      </c>
      <c r="F44" s="7" t="s">
        <v>92</v>
      </c>
      <c r="G44" s="7" t="s">
        <v>93</v>
      </c>
      <c r="H44" s="8">
        <f>ROUND(SUMPRODUCT(SUMIF(Final!$G$4:$G$330,CashReserveLevy!D44:F44,Final!$C$4:$C$330)),0)</f>
        <v>27085836</v>
      </c>
      <c r="I44" s="8">
        <f t="shared" si="4"/>
        <v>5417167</v>
      </c>
      <c r="J44" s="8">
        <f>ROUND(SUMPRODUCT(SUMIF(Final!$G$4:$G$330,CashReserveLevy!D44:F44,Final!$E$4:$E$330)),0)</f>
        <v>6506134</v>
      </c>
      <c r="K44" s="8">
        <f t="shared" si="1"/>
        <v>0</v>
      </c>
      <c r="L44" s="8">
        <f>INDEX(ActualCRLevy_SAS!$A$2:$D$326,MATCH(CashReserveLevy!$C44,ActualCRLevy_SAS!$B$2:$B$326,0),4)</f>
        <v>0</v>
      </c>
      <c r="M44" s="31" t="str">
        <f t="shared" si="2"/>
        <v/>
      </c>
      <c r="N44" s="1" t="str">
        <f t="shared" si="3"/>
        <v/>
      </c>
      <c r="O44" s="1" t="str">
        <f t="shared" si="5"/>
        <v/>
      </c>
    </row>
    <row r="45" spans="1:15" x14ac:dyDescent="0.2">
      <c r="A45" s="7">
        <v>2026</v>
      </c>
      <c r="B45" s="7" t="s">
        <v>0</v>
      </c>
      <c r="C45" s="7" t="s">
        <v>94</v>
      </c>
      <c r="D45" s="7" t="s">
        <v>687</v>
      </c>
      <c r="E45" s="7" t="s">
        <v>687</v>
      </c>
      <c r="F45" s="7" t="s">
        <v>94</v>
      </c>
      <c r="G45" s="7" t="s">
        <v>95</v>
      </c>
      <c r="H45" s="8">
        <f>ROUND(SUMPRODUCT(SUMIF(Final!$G$4:$G$330,CashReserveLevy!D45:F45,Final!$C$4:$C$330)),0)</f>
        <v>24725508</v>
      </c>
      <c r="I45" s="8">
        <f t="shared" si="4"/>
        <v>4945102</v>
      </c>
      <c r="J45" s="8">
        <f>ROUND(SUMPRODUCT(SUMIF(Final!$G$4:$G$330,CashReserveLevy!D45:F45,Final!$E$4:$E$330)),0)</f>
        <v>7284658</v>
      </c>
      <c r="K45" s="8">
        <f t="shared" si="1"/>
        <v>0</v>
      </c>
      <c r="L45" s="8">
        <f>INDEX(ActualCRLevy_SAS!$A$2:$D$326,MATCH(CashReserveLevy!$C45,ActualCRLevy_SAS!$B$2:$B$326,0),4)</f>
        <v>0</v>
      </c>
      <c r="M45" s="31" t="str">
        <f t="shared" si="2"/>
        <v/>
      </c>
      <c r="N45" s="1" t="str">
        <f t="shared" si="3"/>
        <v/>
      </c>
      <c r="O45" s="1" t="str">
        <f t="shared" si="5"/>
        <v/>
      </c>
    </row>
    <row r="46" spans="1:15" x14ac:dyDescent="0.2">
      <c r="A46" s="7">
        <v>2026</v>
      </c>
      <c r="B46" s="7" t="s">
        <v>5</v>
      </c>
      <c r="C46" s="7" t="s">
        <v>96</v>
      </c>
      <c r="D46" s="7" t="s">
        <v>687</v>
      </c>
      <c r="E46" s="7" t="s">
        <v>687</v>
      </c>
      <c r="F46" s="7" t="s">
        <v>96</v>
      </c>
      <c r="G46" s="7" t="s">
        <v>97</v>
      </c>
      <c r="H46" s="8">
        <f>ROUND(SUMPRODUCT(SUMIF(Final!$G$4:$G$330,CashReserveLevy!D46:F46,Final!$C$4:$C$330)),0)</f>
        <v>70217639</v>
      </c>
      <c r="I46" s="8">
        <f t="shared" si="4"/>
        <v>14043528</v>
      </c>
      <c r="J46" s="8">
        <f>ROUND(SUMPRODUCT(SUMIF(Final!$G$4:$G$330,CashReserveLevy!D46:F46,Final!$E$4:$E$330)),0)</f>
        <v>12429527</v>
      </c>
      <c r="K46" s="8">
        <f t="shared" si="1"/>
        <v>1614001</v>
      </c>
      <c r="L46" s="8">
        <f>INDEX(ActualCRLevy_SAS!$A$2:$D$326,MATCH(CashReserveLevy!$C46,ActualCRLevy_SAS!$B$2:$B$326,0),4)</f>
        <v>400000</v>
      </c>
      <c r="M46" s="31" t="str">
        <f t="shared" si="2"/>
        <v/>
      </c>
      <c r="N46" s="1" t="str">
        <f t="shared" si="3"/>
        <v/>
      </c>
      <c r="O46" s="1" t="str">
        <f t="shared" si="5"/>
        <v/>
      </c>
    </row>
    <row r="47" spans="1:15" x14ac:dyDescent="0.2">
      <c r="A47" s="7">
        <v>2026</v>
      </c>
      <c r="B47" s="7" t="s">
        <v>20</v>
      </c>
      <c r="C47" s="7" t="s">
        <v>98</v>
      </c>
      <c r="D47" s="7" t="s">
        <v>687</v>
      </c>
      <c r="E47" s="7" t="s">
        <v>687</v>
      </c>
      <c r="F47" s="7" t="s">
        <v>98</v>
      </c>
      <c r="G47" s="7" t="s">
        <v>99</v>
      </c>
      <c r="H47" s="8">
        <f>ROUND(SUMPRODUCT(SUMIF(Final!$G$4:$G$330,CashReserveLevy!D47:F47,Final!$C$4:$C$330)),0)</f>
        <v>233974721</v>
      </c>
      <c r="I47" s="8">
        <f t="shared" si="4"/>
        <v>46794944</v>
      </c>
      <c r="J47" s="8">
        <f>ROUND(SUMPRODUCT(SUMIF(Final!$G$4:$G$330,CashReserveLevy!D47:F47,Final!$E$4:$E$330)),0)</f>
        <v>39377269</v>
      </c>
      <c r="K47" s="8">
        <f t="shared" si="1"/>
        <v>7417675</v>
      </c>
      <c r="L47" s="8">
        <f>INDEX(ActualCRLevy_SAS!$A$2:$D$326,MATCH(CashReserveLevy!$C47,ActualCRLevy_SAS!$B$2:$B$326,0),4)</f>
        <v>7417675</v>
      </c>
      <c r="M47" s="31" t="str">
        <f t="shared" si="2"/>
        <v>Max</v>
      </c>
      <c r="N47" s="1" t="str">
        <f t="shared" si="3"/>
        <v/>
      </c>
      <c r="O47" s="1" t="str">
        <f t="shared" si="5"/>
        <v/>
      </c>
    </row>
    <row r="48" spans="1:15" x14ac:dyDescent="0.2">
      <c r="A48" s="7">
        <v>2026</v>
      </c>
      <c r="B48" s="7" t="s">
        <v>20</v>
      </c>
      <c r="C48" s="7" t="s">
        <v>100</v>
      </c>
      <c r="D48" s="7" t="s">
        <v>687</v>
      </c>
      <c r="E48" s="7" t="s">
        <v>687</v>
      </c>
      <c r="F48" s="7" t="s">
        <v>100</v>
      </c>
      <c r="G48" s="7" t="s">
        <v>101</v>
      </c>
      <c r="H48" s="8">
        <f>ROUND(SUMPRODUCT(SUMIF(Final!$G$4:$G$330,CashReserveLevy!D48:F48,Final!$C$4:$C$330)),0)</f>
        <v>17585751</v>
      </c>
      <c r="I48" s="8">
        <f t="shared" si="4"/>
        <v>3517150</v>
      </c>
      <c r="J48" s="8">
        <f>ROUND(SUMPRODUCT(SUMIF(Final!$G$4:$G$330,CashReserveLevy!D48:F48,Final!$E$4:$E$330)),0)</f>
        <v>5140519</v>
      </c>
      <c r="K48" s="8">
        <f t="shared" si="1"/>
        <v>0</v>
      </c>
      <c r="L48" s="8">
        <f>INDEX(ActualCRLevy_SAS!$A$2:$D$326,MATCH(CashReserveLevy!$C48,ActualCRLevy_SAS!$B$2:$B$326,0),4)</f>
        <v>0</v>
      </c>
      <c r="M48" s="31" t="str">
        <f t="shared" si="2"/>
        <v/>
      </c>
      <c r="N48" s="1" t="str">
        <f t="shared" si="3"/>
        <v/>
      </c>
      <c r="O48" s="1" t="str">
        <f t="shared" si="5"/>
        <v/>
      </c>
    </row>
    <row r="49" spans="1:15" x14ac:dyDescent="0.2">
      <c r="A49" s="7">
        <v>2026</v>
      </c>
      <c r="B49" s="7" t="s">
        <v>17</v>
      </c>
      <c r="C49" s="7" t="s">
        <v>102</v>
      </c>
      <c r="D49" s="7" t="s">
        <v>687</v>
      </c>
      <c r="E49" s="7" t="s">
        <v>687</v>
      </c>
      <c r="F49" s="7" t="s">
        <v>102</v>
      </c>
      <c r="G49" s="7" t="s">
        <v>103</v>
      </c>
      <c r="H49" s="8">
        <f>ROUND(SUMPRODUCT(SUMIF(Final!$G$4:$G$330,CashReserveLevy!D49:F49,Final!$C$4:$C$330)),0)</f>
        <v>16865020</v>
      </c>
      <c r="I49" s="8">
        <f t="shared" si="4"/>
        <v>3373004</v>
      </c>
      <c r="J49" s="8">
        <f>ROUND(SUMPRODUCT(SUMIF(Final!$G$4:$G$330,CashReserveLevy!D49:F49,Final!$E$4:$E$330)),0)</f>
        <v>5547792</v>
      </c>
      <c r="K49" s="8">
        <f t="shared" si="1"/>
        <v>0</v>
      </c>
      <c r="L49" s="8">
        <f>INDEX(ActualCRLevy_SAS!$A$2:$D$326,MATCH(CashReserveLevy!$C49,ActualCRLevy_SAS!$B$2:$B$326,0),4)</f>
        <v>0</v>
      </c>
      <c r="M49" s="31" t="str">
        <f t="shared" si="2"/>
        <v/>
      </c>
      <c r="N49" s="1" t="str">
        <f t="shared" si="3"/>
        <v/>
      </c>
      <c r="O49" s="1" t="str">
        <f t="shared" si="5"/>
        <v/>
      </c>
    </row>
    <row r="50" spans="1:15" x14ac:dyDescent="0.2">
      <c r="A50" s="7">
        <v>2026</v>
      </c>
      <c r="B50" s="7" t="s">
        <v>20</v>
      </c>
      <c r="C50" s="7" t="s">
        <v>104</v>
      </c>
      <c r="D50" s="7" t="s">
        <v>687</v>
      </c>
      <c r="E50" s="7" t="s">
        <v>687</v>
      </c>
      <c r="F50" s="7" t="s">
        <v>104</v>
      </c>
      <c r="G50" s="7" t="s">
        <v>105</v>
      </c>
      <c r="H50" s="8">
        <f>ROUND(SUMPRODUCT(SUMIF(Final!$G$4:$G$330,CashReserveLevy!D50:F50,Final!$C$4:$C$330)),0)</f>
        <v>6234779</v>
      </c>
      <c r="I50" s="8">
        <f t="shared" si="4"/>
        <v>1246956</v>
      </c>
      <c r="J50" s="8">
        <f>ROUND(SUMPRODUCT(SUMIF(Final!$G$4:$G$330,CashReserveLevy!D50:F50,Final!$E$4:$E$330)),0)</f>
        <v>2248154</v>
      </c>
      <c r="K50" s="8">
        <f t="shared" si="1"/>
        <v>0</v>
      </c>
      <c r="L50" s="8">
        <f>INDEX(ActualCRLevy_SAS!$A$2:$D$326,MATCH(CashReserveLevy!$C50,ActualCRLevy_SAS!$B$2:$B$326,0),4)</f>
        <v>0</v>
      </c>
      <c r="M50" s="31" t="str">
        <f t="shared" si="2"/>
        <v/>
      </c>
      <c r="N50" s="1" t="str">
        <f t="shared" si="3"/>
        <v/>
      </c>
      <c r="O50" s="1" t="str">
        <f t="shared" si="5"/>
        <v/>
      </c>
    </row>
    <row r="51" spans="1:15" x14ac:dyDescent="0.2">
      <c r="A51" s="7">
        <v>2026</v>
      </c>
      <c r="B51" s="7" t="s">
        <v>28</v>
      </c>
      <c r="C51" s="7" t="s">
        <v>106</v>
      </c>
      <c r="D51" s="7" t="s">
        <v>687</v>
      </c>
      <c r="E51" s="7" t="s">
        <v>687</v>
      </c>
      <c r="F51" s="7" t="s">
        <v>106</v>
      </c>
      <c r="G51" s="7" t="s">
        <v>107</v>
      </c>
      <c r="H51" s="8">
        <f>ROUND(SUMPRODUCT(SUMIF(Final!$G$4:$G$330,CashReserveLevy!D51:F51,Final!$C$4:$C$330)),0)</f>
        <v>6543273</v>
      </c>
      <c r="I51" s="8">
        <f t="shared" si="4"/>
        <v>1308655</v>
      </c>
      <c r="J51" s="8">
        <f>ROUND(SUMPRODUCT(SUMIF(Final!$G$4:$G$330,CashReserveLevy!D51:F51,Final!$E$4:$E$330)),0)</f>
        <v>1160247</v>
      </c>
      <c r="K51" s="8">
        <f t="shared" si="1"/>
        <v>148408</v>
      </c>
      <c r="L51" s="8">
        <f>INDEX(ActualCRLevy_SAS!$A$2:$D$326,MATCH(CashReserveLevy!$C51,ActualCRLevy_SAS!$B$2:$B$326,0),4)</f>
        <v>148408</v>
      </c>
      <c r="M51" s="31" t="str">
        <f t="shared" si="2"/>
        <v>Max</v>
      </c>
      <c r="N51" s="1" t="str">
        <f t="shared" si="3"/>
        <v/>
      </c>
      <c r="O51" s="1" t="str">
        <f t="shared" si="5"/>
        <v/>
      </c>
    </row>
    <row r="52" spans="1:15" x14ac:dyDescent="0.2">
      <c r="A52" s="7">
        <v>2026</v>
      </c>
      <c r="B52" s="7" t="s">
        <v>37</v>
      </c>
      <c r="C52" s="7" t="s">
        <v>108</v>
      </c>
      <c r="D52" s="7" t="s">
        <v>687</v>
      </c>
      <c r="E52" s="7" t="s">
        <v>687</v>
      </c>
      <c r="F52" s="7" t="s">
        <v>108</v>
      </c>
      <c r="G52" s="7" t="s">
        <v>109</v>
      </c>
      <c r="H52" s="8">
        <f>ROUND(SUMPRODUCT(SUMIF(Final!$G$4:$G$330,CashReserveLevy!D52:F52,Final!$C$4:$C$330)),0)</f>
        <v>21639918</v>
      </c>
      <c r="I52" s="8">
        <f t="shared" si="4"/>
        <v>4327984</v>
      </c>
      <c r="J52" s="8">
        <f>ROUND(SUMPRODUCT(SUMIF(Final!$G$4:$G$330,CashReserveLevy!D52:F52,Final!$E$4:$E$330)),0)</f>
        <v>2319872</v>
      </c>
      <c r="K52" s="8">
        <f t="shared" si="1"/>
        <v>2008112</v>
      </c>
      <c r="L52" s="8">
        <f>INDEX(ActualCRLevy_SAS!$A$2:$D$326,MATCH(CashReserveLevy!$C52,ActualCRLevy_SAS!$B$2:$B$326,0),4)</f>
        <v>2008112</v>
      </c>
      <c r="M52" s="31" t="str">
        <f t="shared" si="2"/>
        <v>Max</v>
      </c>
      <c r="N52" s="1" t="str">
        <f t="shared" si="3"/>
        <v/>
      </c>
      <c r="O52" s="1" t="str">
        <f t="shared" si="5"/>
        <v/>
      </c>
    </row>
    <row r="53" spans="1:15" x14ac:dyDescent="0.2">
      <c r="A53" s="7">
        <v>2026</v>
      </c>
      <c r="B53" s="7" t="s">
        <v>8</v>
      </c>
      <c r="C53" s="7" t="s">
        <v>110</v>
      </c>
      <c r="D53" s="7" t="s">
        <v>687</v>
      </c>
      <c r="E53" s="7" t="s">
        <v>687</v>
      </c>
      <c r="F53" s="7" t="s">
        <v>110</v>
      </c>
      <c r="G53" s="7" t="s">
        <v>111</v>
      </c>
      <c r="H53" s="8">
        <f>ROUND(SUMPRODUCT(SUMIF(Final!$G$4:$G$330,CashReserveLevy!D53:F53,Final!$C$4:$C$330)),0)</f>
        <v>10380688</v>
      </c>
      <c r="I53" s="8">
        <f t="shared" si="4"/>
        <v>2076138</v>
      </c>
      <c r="J53" s="8">
        <f>ROUND(SUMPRODUCT(SUMIF(Final!$G$4:$G$330,CashReserveLevy!D53:F53,Final!$E$4:$E$330)),0)</f>
        <v>2727241</v>
      </c>
      <c r="K53" s="8">
        <f t="shared" si="1"/>
        <v>0</v>
      </c>
      <c r="L53" s="8">
        <f>INDEX(ActualCRLevy_SAS!$A$2:$D$326,MATCH(CashReserveLevy!$C53,ActualCRLevy_SAS!$B$2:$B$326,0),4)</f>
        <v>0</v>
      </c>
      <c r="M53" s="31" t="str">
        <f t="shared" si="2"/>
        <v/>
      </c>
      <c r="N53" s="1" t="str">
        <f t="shared" si="3"/>
        <v/>
      </c>
      <c r="O53" s="1" t="str">
        <f t="shared" si="5"/>
        <v/>
      </c>
    </row>
    <row r="54" spans="1:15" x14ac:dyDescent="0.2">
      <c r="A54" s="7">
        <v>2026</v>
      </c>
      <c r="B54" s="7" t="s">
        <v>17</v>
      </c>
      <c r="C54" s="7" t="s">
        <v>112</v>
      </c>
      <c r="D54" s="7" t="s">
        <v>687</v>
      </c>
      <c r="E54" s="7" t="s">
        <v>687</v>
      </c>
      <c r="F54" s="7" t="s">
        <v>112</v>
      </c>
      <c r="G54" s="7" t="s">
        <v>113</v>
      </c>
      <c r="H54" s="8">
        <f>ROUND(SUMPRODUCT(SUMIF(Final!$G$4:$G$330,CashReserveLevy!D54:F54,Final!$C$4:$C$330)),0)</f>
        <v>13758850</v>
      </c>
      <c r="I54" s="8">
        <f t="shared" si="4"/>
        <v>2751770</v>
      </c>
      <c r="J54" s="8">
        <f>ROUND(SUMPRODUCT(SUMIF(Final!$G$4:$G$330,CashReserveLevy!D54:F54,Final!$E$4:$E$330)),0)</f>
        <v>3464656</v>
      </c>
      <c r="K54" s="8">
        <f t="shared" si="1"/>
        <v>0</v>
      </c>
      <c r="L54" s="8">
        <f>INDEX(ActualCRLevy_SAS!$A$2:$D$326,MATCH(CashReserveLevy!$C54,ActualCRLevy_SAS!$B$2:$B$326,0),4)</f>
        <v>0</v>
      </c>
      <c r="M54" s="31" t="str">
        <f t="shared" si="2"/>
        <v/>
      </c>
      <c r="N54" s="1" t="str">
        <f t="shared" si="3"/>
        <v/>
      </c>
      <c r="O54" s="1" t="str">
        <f t="shared" si="5"/>
        <v/>
      </c>
    </row>
    <row r="55" spans="1:15" x14ac:dyDescent="0.2">
      <c r="A55" s="7">
        <v>2026</v>
      </c>
      <c r="B55" s="7" t="s">
        <v>11</v>
      </c>
      <c r="C55" s="7" t="s">
        <v>114</v>
      </c>
      <c r="D55" s="7" t="s">
        <v>687</v>
      </c>
      <c r="E55" s="7" t="s">
        <v>687</v>
      </c>
      <c r="F55" s="7" t="s">
        <v>114</v>
      </c>
      <c r="G55" s="7" t="s">
        <v>115</v>
      </c>
      <c r="H55" s="8">
        <f>ROUND(SUMPRODUCT(SUMIF(Final!$G$4:$G$330,CashReserveLevy!D55:F55,Final!$C$4:$C$330)),0)</f>
        <v>10394129</v>
      </c>
      <c r="I55" s="8">
        <f t="shared" si="4"/>
        <v>2078826</v>
      </c>
      <c r="J55" s="8">
        <f>ROUND(SUMPRODUCT(SUMIF(Final!$G$4:$G$330,CashReserveLevy!D55:F55,Final!$E$4:$E$330)),0)</f>
        <v>2739202</v>
      </c>
      <c r="K55" s="8">
        <f t="shared" si="1"/>
        <v>0</v>
      </c>
      <c r="L55" s="8">
        <f>INDEX(ActualCRLevy_SAS!$A$2:$D$326,MATCH(CashReserveLevy!$C55,ActualCRLevy_SAS!$B$2:$B$326,0),4)</f>
        <v>0</v>
      </c>
      <c r="M55" s="31" t="str">
        <f t="shared" si="2"/>
        <v/>
      </c>
      <c r="N55" s="1" t="str">
        <f t="shared" si="3"/>
        <v/>
      </c>
      <c r="O55" s="1" t="str">
        <f t="shared" si="5"/>
        <v/>
      </c>
    </row>
    <row r="56" spans="1:15" x14ac:dyDescent="0.2">
      <c r="A56" s="7">
        <v>2026</v>
      </c>
      <c r="B56" s="7" t="s">
        <v>5</v>
      </c>
      <c r="C56" s="7" t="s">
        <v>116</v>
      </c>
      <c r="D56" s="7" t="s">
        <v>687</v>
      </c>
      <c r="E56" s="7" t="s">
        <v>687</v>
      </c>
      <c r="F56" s="7" t="s">
        <v>116</v>
      </c>
      <c r="G56" s="7" t="s">
        <v>117</v>
      </c>
      <c r="H56" s="8">
        <f>ROUND(SUMPRODUCT(SUMIF(Final!$G$4:$G$330,CashReserveLevy!D56:F56,Final!$C$4:$C$330)),0)</f>
        <v>11651081</v>
      </c>
      <c r="I56" s="8">
        <f t="shared" si="4"/>
        <v>2330216</v>
      </c>
      <c r="J56" s="8">
        <f>ROUND(SUMPRODUCT(SUMIF(Final!$G$4:$G$330,CashReserveLevy!D56:F56,Final!$E$4:$E$330)),0)</f>
        <v>3717282</v>
      </c>
      <c r="K56" s="8">
        <f t="shared" si="1"/>
        <v>0</v>
      </c>
      <c r="L56" s="8">
        <f>INDEX(ActualCRLevy_SAS!$A$2:$D$326,MATCH(CashReserveLevy!$C56,ActualCRLevy_SAS!$B$2:$B$326,0),4)</f>
        <v>0</v>
      </c>
      <c r="M56" s="31" t="str">
        <f t="shared" si="2"/>
        <v/>
      </c>
      <c r="N56" s="1" t="str">
        <f t="shared" si="3"/>
        <v/>
      </c>
      <c r="O56" s="1" t="str">
        <f t="shared" si="5"/>
        <v/>
      </c>
    </row>
    <row r="57" spans="1:15" x14ac:dyDescent="0.2">
      <c r="A57" s="7">
        <v>2026</v>
      </c>
      <c r="B57" s="7" t="s">
        <v>17</v>
      </c>
      <c r="C57" s="7" t="s">
        <v>118</v>
      </c>
      <c r="D57" s="7" t="s">
        <v>687</v>
      </c>
      <c r="E57" s="7" t="s">
        <v>687</v>
      </c>
      <c r="F57" s="7" t="s">
        <v>118</v>
      </c>
      <c r="G57" s="7" t="s">
        <v>119</v>
      </c>
      <c r="H57" s="8">
        <f>ROUND(SUMPRODUCT(SUMIF(Final!$G$4:$G$330,CashReserveLevy!D57:F57,Final!$C$4:$C$330)),0)</f>
        <v>17750925</v>
      </c>
      <c r="I57" s="8">
        <f t="shared" si="4"/>
        <v>3550185</v>
      </c>
      <c r="J57" s="8">
        <f>ROUND(SUMPRODUCT(SUMIF(Final!$G$4:$G$330,CashReserveLevy!D57:F57,Final!$E$4:$E$330)),0)</f>
        <v>2195541</v>
      </c>
      <c r="K57" s="8">
        <f t="shared" si="1"/>
        <v>1354644</v>
      </c>
      <c r="L57" s="8">
        <f>INDEX(ActualCRLevy_SAS!$A$2:$D$326,MATCH(CashReserveLevy!$C57,ActualCRLevy_SAS!$B$2:$B$326,0),4)</f>
        <v>965938</v>
      </c>
      <c r="M57" s="31" t="str">
        <f t="shared" si="2"/>
        <v/>
      </c>
      <c r="N57" s="1" t="str">
        <f t="shared" si="3"/>
        <v/>
      </c>
      <c r="O57" s="1" t="str">
        <f t="shared" si="5"/>
        <v/>
      </c>
    </row>
    <row r="58" spans="1:15" x14ac:dyDescent="0.2">
      <c r="A58" s="7">
        <v>2026</v>
      </c>
      <c r="B58" s="7" t="s">
        <v>5</v>
      </c>
      <c r="C58" s="7" t="s">
        <v>120</v>
      </c>
      <c r="D58" s="7" t="s">
        <v>687</v>
      </c>
      <c r="E58" s="7" t="s">
        <v>687</v>
      </c>
      <c r="F58" s="7" t="s">
        <v>120</v>
      </c>
      <c r="G58" s="7" t="s">
        <v>121</v>
      </c>
      <c r="H58" s="8">
        <f>ROUND(SUMPRODUCT(SUMIF(Final!$G$4:$G$330,CashReserveLevy!D58:F58,Final!$C$4:$C$330)),0)</f>
        <v>22104247</v>
      </c>
      <c r="I58" s="8">
        <f t="shared" si="4"/>
        <v>4420849</v>
      </c>
      <c r="J58" s="8">
        <f>ROUND(SUMPRODUCT(SUMIF(Final!$G$4:$G$330,CashReserveLevy!D58:F58,Final!$E$4:$E$330)),0)</f>
        <v>3552345</v>
      </c>
      <c r="K58" s="8">
        <f t="shared" si="1"/>
        <v>868504</v>
      </c>
      <c r="L58" s="8">
        <f>INDEX(ActualCRLevy_SAS!$A$2:$D$326,MATCH(CashReserveLevy!$C58,ActualCRLevy_SAS!$B$2:$B$326,0),4)</f>
        <v>360000</v>
      </c>
      <c r="M58" s="31" t="str">
        <f t="shared" si="2"/>
        <v/>
      </c>
      <c r="N58" s="1" t="str">
        <f t="shared" si="3"/>
        <v/>
      </c>
      <c r="O58" s="1" t="str">
        <f t="shared" si="5"/>
        <v/>
      </c>
    </row>
    <row r="59" spans="1:15" x14ac:dyDescent="0.2">
      <c r="A59" s="7">
        <v>2026</v>
      </c>
      <c r="B59" s="7" t="s">
        <v>11</v>
      </c>
      <c r="C59" s="7" t="s">
        <v>122</v>
      </c>
      <c r="D59" s="7" t="s">
        <v>687</v>
      </c>
      <c r="E59" s="7" t="s">
        <v>687</v>
      </c>
      <c r="F59" s="7" t="s">
        <v>122</v>
      </c>
      <c r="G59" s="7" t="s">
        <v>123</v>
      </c>
      <c r="H59" s="8">
        <f>ROUND(SUMPRODUCT(SUMIF(Final!$G$4:$G$330,CashReserveLevy!D59:F59,Final!$C$4:$C$330)),0)</f>
        <v>4109449</v>
      </c>
      <c r="I59" s="8">
        <f t="shared" si="4"/>
        <v>821890</v>
      </c>
      <c r="J59" s="8">
        <f>ROUND(SUMPRODUCT(SUMIF(Final!$G$4:$G$330,CashReserveLevy!D59:F59,Final!$E$4:$E$330)),0)</f>
        <v>1839122</v>
      </c>
      <c r="K59" s="8">
        <f t="shared" si="1"/>
        <v>0</v>
      </c>
      <c r="L59" s="8">
        <f>INDEX(ActualCRLevy_SAS!$A$2:$D$326,MATCH(CashReserveLevy!$C59,ActualCRLevy_SAS!$B$2:$B$326,0),4)</f>
        <v>0</v>
      </c>
      <c r="M59" s="31" t="str">
        <f t="shared" si="2"/>
        <v/>
      </c>
      <c r="N59" s="1" t="str">
        <f t="shared" si="3"/>
        <v/>
      </c>
      <c r="O59" s="1" t="str">
        <f t="shared" si="5"/>
        <v/>
      </c>
    </row>
    <row r="60" spans="1:15" x14ac:dyDescent="0.2">
      <c r="A60" s="7">
        <v>2026</v>
      </c>
      <c r="B60" s="7" t="s">
        <v>11</v>
      </c>
      <c r="C60" s="7" t="s">
        <v>124</v>
      </c>
      <c r="D60" s="7" t="s">
        <v>687</v>
      </c>
      <c r="E60" s="7" t="s">
        <v>687</v>
      </c>
      <c r="F60" s="7" t="s">
        <v>124</v>
      </c>
      <c r="G60" s="7" t="s">
        <v>125</v>
      </c>
      <c r="H60" s="8">
        <f>ROUND(SUMPRODUCT(SUMIF(Final!$G$4:$G$330,CashReserveLevy!D60:F60,Final!$C$4:$C$330)),0)</f>
        <v>14620083</v>
      </c>
      <c r="I60" s="8">
        <f t="shared" si="4"/>
        <v>2924017</v>
      </c>
      <c r="J60" s="8">
        <f>ROUND(SUMPRODUCT(SUMIF(Final!$G$4:$G$330,CashReserveLevy!D60:F60,Final!$E$4:$E$330)),0)</f>
        <v>2972365</v>
      </c>
      <c r="K60" s="8">
        <f t="shared" si="1"/>
        <v>0</v>
      </c>
      <c r="L60" s="8">
        <f>INDEX(ActualCRLevy_SAS!$A$2:$D$326,MATCH(CashReserveLevy!$C60,ActualCRLevy_SAS!$B$2:$B$326,0),4)</f>
        <v>0</v>
      </c>
      <c r="M60" s="31" t="str">
        <f t="shared" si="2"/>
        <v/>
      </c>
      <c r="N60" s="1" t="str">
        <f t="shared" si="3"/>
        <v/>
      </c>
      <c r="O60" s="1" t="str">
        <f t="shared" si="5"/>
        <v/>
      </c>
    </row>
    <row r="61" spans="1:15" x14ac:dyDescent="0.2">
      <c r="A61" s="7">
        <v>2026</v>
      </c>
      <c r="B61" s="7" t="s">
        <v>8</v>
      </c>
      <c r="C61" s="7" t="s">
        <v>126</v>
      </c>
      <c r="D61" s="7" t="s">
        <v>687</v>
      </c>
      <c r="E61" s="7" t="s">
        <v>687</v>
      </c>
      <c r="F61" s="7" t="s">
        <v>126</v>
      </c>
      <c r="G61" s="7" t="s">
        <v>127</v>
      </c>
      <c r="H61" s="8">
        <f>ROUND(SUMPRODUCT(SUMIF(Final!$G$4:$G$330,CashReserveLevy!D61:F61,Final!$C$4:$C$330)),0)</f>
        <v>14365730</v>
      </c>
      <c r="I61" s="8">
        <f t="shared" si="4"/>
        <v>2873146</v>
      </c>
      <c r="J61" s="8">
        <f>ROUND(SUMPRODUCT(SUMIF(Final!$G$4:$G$330,CashReserveLevy!D61:F61,Final!$E$4:$E$330)),0)</f>
        <v>2129371</v>
      </c>
      <c r="K61" s="8">
        <f t="shared" si="1"/>
        <v>743775</v>
      </c>
      <c r="L61" s="8">
        <f>INDEX(ActualCRLevy_SAS!$A$2:$D$326,MATCH(CashReserveLevy!$C61,ActualCRLevy_SAS!$B$2:$B$326,0),4)</f>
        <v>743775</v>
      </c>
      <c r="M61" s="31" t="str">
        <f t="shared" si="2"/>
        <v>Max</v>
      </c>
      <c r="N61" s="1" t="str">
        <f t="shared" si="3"/>
        <v/>
      </c>
      <c r="O61" s="1" t="str">
        <f t="shared" si="5"/>
        <v/>
      </c>
    </row>
    <row r="62" spans="1:15" x14ac:dyDescent="0.2">
      <c r="A62" s="7">
        <v>2026</v>
      </c>
      <c r="B62" s="7" t="s">
        <v>14</v>
      </c>
      <c r="C62" s="7" t="s">
        <v>128</v>
      </c>
      <c r="D62" s="7" t="s">
        <v>130</v>
      </c>
      <c r="E62" s="7" t="s">
        <v>687</v>
      </c>
      <c r="F62" s="7" t="s">
        <v>128</v>
      </c>
      <c r="G62" s="7" t="s">
        <v>129</v>
      </c>
      <c r="H62" s="8">
        <f>ROUND(SUMPRODUCT(SUMIF(Final!$G$4:$G$330,CashReserveLevy!D62:F62,Final!$C$4:$C$330)),0)</f>
        <v>14594100</v>
      </c>
      <c r="I62" s="8">
        <f t="shared" si="4"/>
        <v>2918820</v>
      </c>
      <c r="J62" s="8">
        <f>ROUND(SUMPRODUCT(SUMIF(Final!$G$4:$G$330,CashReserveLevy!D62:F62,Final!$E$4:$E$330)),0)</f>
        <v>2298018</v>
      </c>
      <c r="K62" s="8">
        <f t="shared" si="1"/>
        <v>620802</v>
      </c>
      <c r="L62" s="8">
        <f>INDEX(ActualCRLevy_SAS!$A$2:$D$326,MATCH(CashReserveLevy!$C62,ActualCRLevy_SAS!$B$2:$B$326,0),4)</f>
        <v>620802</v>
      </c>
      <c r="M62" s="31" t="str">
        <f t="shared" si="2"/>
        <v>Max</v>
      </c>
      <c r="N62" s="1" t="str">
        <f t="shared" si="3"/>
        <v/>
      </c>
      <c r="O62" s="1" t="str">
        <f t="shared" si="5"/>
        <v/>
      </c>
    </row>
    <row r="63" spans="1:15" x14ac:dyDescent="0.2">
      <c r="A63" s="7">
        <v>2026</v>
      </c>
      <c r="B63" s="7" t="s">
        <v>8</v>
      </c>
      <c r="C63" s="7" t="s">
        <v>131</v>
      </c>
      <c r="D63" s="7" t="s">
        <v>687</v>
      </c>
      <c r="E63" s="7" t="s">
        <v>687</v>
      </c>
      <c r="F63" s="7" t="s">
        <v>131</v>
      </c>
      <c r="G63" s="7" t="s">
        <v>132</v>
      </c>
      <c r="H63" s="8">
        <f>ROUND(SUMPRODUCT(SUMIF(Final!$G$4:$G$330,CashReserveLevy!D63:F63,Final!$C$4:$C$330)),0)</f>
        <v>20436675</v>
      </c>
      <c r="I63" s="8">
        <f t="shared" si="4"/>
        <v>4087335</v>
      </c>
      <c r="J63" s="8">
        <f>ROUND(SUMPRODUCT(SUMIF(Final!$G$4:$G$330,CashReserveLevy!D63:F63,Final!$E$4:$E$330)),0)</f>
        <v>1855480</v>
      </c>
      <c r="K63" s="8">
        <f t="shared" si="1"/>
        <v>2231855</v>
      </c>
      <c r="L63" s="8">
        <f>INDEX(ActualCRLevy_SAS!$A$2:$D$326,MATCH(CashReserveLevy!$C63,ActualCRLevy_SAS!$B$2:$B$326,0),4)</f>
        <v>866423</v>
      </c>
      <c r="M63" s="31" t="str">
        <f t="shared" si="2"/>
        <v/>
      </c>
      <c r="N63" s="1" t="str">
        <f t="shared" si="3"/>
        <v/>
      </c>
      <c r="O63" s="1" t="str">
        <f t="shared" si="5"/>
        <v/>
      </c>
    </row>
    <row r="64" spans="1:15" x14ac:dyDescent="0.2">
      <c r="A64" s="7">
        <v>2026</v>
      </c>
      <c r="B64" s="7" t="s">
        <v>5</v>
      </c>
      <c r="C64" s="7" t="s">
        <v>133</v>
      </c>
      <c r="D64" s="7" t="s">
        <v>687</v>
      </c>
      <c r="E64" s="7" t="s">
        <v>687</v>
      </c>
      <c r="F64" s="7" t="s">
        <v>133</v>
      </c>
      <c r="G64" s="7" t="s">
        <v>134</v>
      </c>
      <c r="H64" s="8">
        <f>ROUND(SUMPRODUCT(SUMIF(Final!$G$4:$G$330,CashReserveLevy!D64:F64,Final!$C$4:$C$330)),0)</f>
        <v>4415093</v>
      </c>
      <c r="I64" s="8">
        <f t="shared" si="4"/>
        <v>883019</v>
      </c>
      <c r="J64" s="8">
        <f>ROUND(SUMPRODUCT(SUMIF(Final!$G$4:$G$330,CashReserveLevy!D64:F64,Final!$E$4:$E$330)),0)</f>
        <v>692102</v>
      </c>
      <c r="K64" s="8">
        <f t="shared" si="1"/>
        <v>190917</v>
      </c>
      <c r="L64" s="8">
        <f>INDEX(ActualCRLevy_SAS!$A$2:$D$326,MATCH(CashReserveLevy!$C64,ActualCRLevy_SAS!$B$2:$B$326,0),4)</f>
        <v>175000</v>
      </c>
      <c r="M64" s="31" t="str">
        <f t="shared" si="2"/>
        <v/>
      </c>
      <c r="N64" s="1" t="str">
        <f t="shared" si="3"/>
        <v/>
      </c>
      <c r="O64" s="1" t="str">
        <f t="shared" si="5"/>
        <v/>
      </c>
    </row>
    <row r="65" spans="1:15" x14ac:dyDescent="0.2">
      <c r="A65" s="7">
        <v>2026</v>
      </c>
      <c r="B65" s="7" t="s">
        <v>14</v>
      </c>
      <c r="C65" s="7" t="s">
        <v>135</v>
      </c>
      <c r="D65" s="7" t="s">
        <v>687</v>
      </c>
      <c r="E65" s="7" t="s">
        <v>687</v>
      </c>
      <c r="F65" s="7" t="s">
        <v>135</v>
      </c>
      <c r="G65" s="7" t="s">
        <v>136</v>
      </c>
      <c r="H65" s="8">
        <f>ROUND(SUMPRODUCT(SUMIF(Final!$G$4:$G$330,CashReserveLevy!D65:F65,Final!$C$4:$C$330)),0)</f>
        <v>4172739</v>
      </c>
      <c r="I65" s="8">
        <f t="shared" si="4"/>
        <v>834548</v>
      </c>
      <c r="J65" s="8">
        <f>ROUND(SUMPRODUCT(SUMIF(Final!$G$4:$G$330,CashReserveLevy!D65:F65,Final!$E$4:$E$330)),0)</f>
        <v>1626034</v>
      </c>
      <c r="K65" s="8">
        <f t="shared" si="1"/>
        <v>0</v>
      </c>
      <c r="L65" s="8">
        <f>INDEX(ActualCRLevy_SAS!$A$2:$D$326,MATCH(CashReserveLevy!$C65,ActualCRLevy_SAS!$B$2:$B$326,0),4)</f>
        <v>0</v>
      </c>
      <c r="M65" s="31" t="str">
        <f t="shared" si="2"/>
        <v/>
      </c>
      <c r="N65" s="1" t="str">
        <f t="shared" si="3"/>
        <v/>
      </c>
      <c r="O65" s="1" t="str">
        <f t="shared" si="5"/>
        <v/>
      </c>
    </row>
    <row r="66" spans="1:15" x14ac:dyDescent="0.2">
      <c r="A66" s="7">
        <v>2026</v>
      </c>
      <c r="B66" s="7" t="s">
        <v>28</v>
      </c>
      <c r="C66" s="7" t="s">
        <v>137</v>
      </c>
      <c r="D66" s="7" t="s">
        <v>687</v>
      </c>
      <c r="E66" s="7" t="s">
        <v>687</v>
      </c>
      <c r="F66" s="7" t="s">
        <v>137</v>
      </c>
      <c r="G66" s="7" t="s">
        <v>138</v>
      </c>
      <c r="H66" s="8">
        <f>ROUND(SUMPRODUCT(SUMIF(Final!$G$4:$G$330,CashReserveLevy!D66:F66,Final!$C$4:$C$330)),0)</f>
        <v>17268032</v>
      </c>
      <c r="I66" s="8">
        <f t="shared" si="4"/>
        <v>3453606</v>
      </c>
      <c r="J66" s="8">
        <f>ROUND(SUMPRODUCT(SUMIF(Final!$G$4:$G$330,CashReserveLevy!D66:F66,Final!$E$4:$E$330)),0)</f>
        <v>1125473</v>
      </c>
      <c r="K66" s="8">
        <f t="shared" si="1"/>
        <v>2328133</v>
      </c>
      <c r="L66" s="8">
        <f>INDEX(ActualCRLevy_SAS!$A$2:$D$326,MATCH(CashReserveLevy!$C66,ActualCRLevy_SAS!$B$2:$B$326,0),4)</f>
        <v>200000</v>
      </c>
      <c r="M66" s="31" t="str">
        <f t="shared" si="2"/>
        <v/>
      </c>
      <c r="N66" s="1" t="str">
        <f t="shared" si="3"/>
        <v/>
      </c>
      <c r="O66" s="1" t="str">
        <f t="shared" si="5"/>
        <v/>
      </c>
    </row>
    <row r="67" spans="1:15" x14ac:dyDescent="0.2">
      <c r="A67" s="7">
        <v>2026</v>
      </c>
      <c r="B67" s="7" t="s">
        <v>20</v>
      </c>
      <c r="C67" s="7" t="s">
        <v>139</v>
      </c>
      <c r="D67" s="7" t="s">
        <v>141</v>
      </c>
      <c r="E67" s="7" t="s">
        <v>687</v>
      </c>
      <c r="F67" s="7" t="s">
        <v>139</v>
      </c>
      <c r="G67" s="7" t="s">
        <v>140</v>
      </c>
      <c r="H67" s="8">
        <f>ROUND(SUMPRODUCT(SUMIF(Final!$G$4:$G$330,CashReserveLevy!D67:F67,Final!$C$4:$C$330)),0)</f>
        <v>41176959</v>
      </c>
      <c r="I67" s="8">
        <f t="shared" si="4"/>
        <v>8235392</v>
      </c>
      <c r="J67" s="8">
        <f>ROUND(SUMPRODUCT(SUMIF(Final!$G$4:$G$330,CashReserveLevy!D67:F67,Final!$E$4:$E$330)),0)</f>
        <v>2881128</v>
      </c>
      <c r="K67" s="8">
        <f t="shared" si="1"/>
        <v>5354264</v>
      </c>
      <c r="L67" s="8">
        <f>INDEX(ActualCRLevy_SAS!$A$2:$D$326,MATCH(CashReserveLevy!$C67,ActualCRLevy_SAS!$B$2:$B$326,0),4)</f>
        <v>2342248</v>
      </c>
      <c r="M67" s="31" t="str">
        <f t="shared" si="2"/>
        <v/>
      </c>
      <c r="N67" s="1" t="str">
        <f t="shared" si="3"/>
        <v/>
      </c>
      <c r="O67" s="1" t="str">
        <f t="shared" si="5"/>
        <v/>
      </c>
    </row>
    <row r="68" spans="1:15" x14ac:dyDescent="0.2">
      <c r="A68" s="7">
        <v>2026</v>
      </c>
      <c r="B68" s="7" t="s">
        <v>5</v>
      </c>
      <c r="C68" s="7" t="s">
        <v>142</v>
      </c>
      <c r="D68" s="7" t="s">
        <v>687</v>
      </c>
      <c r="E68" s="7" t="s">
        <v>687</v>
      </c>
      <c r="F68" s="7" t="s">
        <v>142</v>
      </c>
      <c r="G68" s="7" t="s">
        <v>143</v>
      </c>
      <c r="H68" s="8">
        <f>ROUND(SUMPRODUCT(SUMIF(Final!$G$4:$G$330,CashReserveLevy!D68:F68,Final!$C$4:$C$330)),0)</f>
        <v>18176111</v>
      </c>
      <c r="I68" s="8">
        <f t="shared" ref="I68:I131" si="6">ROUND(H68*0.2,0)</f>
        <v>3635222</v>
      </c>
      <c r="J68" s="8">
        <f>ROUND(SUMPRODUCT(SUMIF(Final!$G$4:$G$330,CashReserveLevy!D68:F68,Final!$E$4:$E$330)),0)</f>
        <v>4309564</v>
      </c>
      <c r="K68" s="8">
        <f t="shared" ref="K68:K131" si="7">IF(I68&gt;J68,I68-J68,0)</f>
        <v>0</v>
      </c>
      <c r="L68" s="8">
        <f>INDEX(ActualCRLevy_SAS!$A$2:$D$326,MATCH(CashReserveLevy!$C68,ActualCRLevy_SAS!$B$2:$B$326,0),4)</f>
        <v>0</v>
      </c>
      <c r="M68" s="31" t="str">
        <f t="shared" ref="M68:M131" si="8">IF(AND(L68=K68,K68&gt;0),"Max","")</f>
        <v/>
      </c>
      <c r="N68" s="1" t="str">
        <f t="shared" ref="N68:N131" si="9">IF(AND(L68&lt;K68,L68=0),"No Levy but have Capacity","")</f>
        <v/>
      </c>
      <c r="O68" s="1" t="str">
        <f t="shared" si="5"/>
        <v/>
      </c>
    </row>
    <row r="69" spans="1:15" x14ac:dyDescent="0.2">
      <c r="A69" s="7">
        <v>2026</v>
      </c>
      <c r="B69" s="7" t="s">
        <v>37</v>
      </c>
      <c r="C69" s="7" t="s">
        <v>144</v>
      </c>
      <c r="D69" s="7" t="s">
        <v>687</v>
      </c>
      <c r="E69" s="7" t="s">
        <v>687</v>
      </c>
      <c r="F69" s="7" t="s">
        <v>144</v>
      </c>
      <c r="G69" s="7" t="s">
        <v>145</v>
      </c>
      <c r="H69" s="8">
        <f>ROUND(SUMPRODUCT(SUMIF(Final!$G$4:$G$330,CashReserveLevy!D69:F69,Final!$C$4:$C$330)),0)</f>
        <v>54456517</v>
      </c>
      <c r="I69" s="8">
        <f t="shared" si="6"/>
        <v>10891303</v>
      </c>
      <c r="J69" s="8">
        <f>ROUND(SUMPRODUCT(SUMIF(Final!$G$4:$G$330,CashReserveLevy!D69:F69,Final!$E$4:$E$330)),0)</f>
        <v>9736878</v>
      </c>
      <c r="K69" s="8">
        <f t="shared" si="7"/>
        <v>1154425</v>
      </c>
      <c r="L69" s="8">
        <f>INDEX(ActualCRLevy_SAS!$A$2:$D$326,MATCH(CashReserveLevy!$C69,ActualCRLevy_SAS!$B$2:$B$326,0),4)</f>
        <v>800000</v>
      </c>
      <c r="M69" s="31" t="str">
        <f t="shared" si="8"/>
        <v/>
      </c>
      <c r="N69" s="1" t="str">
        <f t="shared" si="9"/>
        <v/>
      </c>
      <c r="O69" s="1" t="str">
        <f t="shared" si="5"/>
        <v/>
      </c>
    </row>
    <row r="70" spans="1:15" x14ac:dyDescent="0.2">
      <c r="A70" s="7">
        <v>2026</v>
      </c>
      <c r="B70" s="7" t="s">
        <v>0</v>
      </c>
      <c r="C70" s="7" t="s">
        <v>146</v>
      </c>
      <c r="D70" s="7" t="s">
        <v>687</v>
      </c>
      <c r="E70" s="7" t="s">
        <v>687</v>
      </c>
      <c r="F70" s="7" t="s">
        <v>146</v>
      </c>
      <c r="G70" s="7" t="s">
        <v>147</v>
      </c>
      <c r="H70" s="8">
        <f>ROUND(SUMPRODUCT(SUMIF(Final!$G$4:$G$330,CashReserveLevy!D70:F70,Final!$C$4:$C$330)),0)</f>
        <v>11494477</v>
      </c>
      <c r="I70" s="8">
        <f t="shared" si="6"/>
        <v>2298895</v>
      </c>
      <c r="J70" s="8">
        <f>ROUND(SUMPRODUCT(SUMIF(Final!$G$4:$G$330,CashReserveLevy!D70:F70,Final!$E$4:$E$330)),0)</f>
        <v>42040</v>
      </c>
      <c r="K70" s="8">
        <f t="shared" si="7"/>
        <v>2256855</v>
      </c>
      <c r="L70" s="8">
        <f>INDEX(ActualCRLevy_SAS!$A$2:$D$326,MATCH(CashReserveLevy!$C70,ActualCRLevy_SAS!$B$2:$B$326,0),4)</f>
        <v>675000</v>
      </c>
      <c r="M70" s="31" t="str">
        <f t="shared" si="8"/>
        <v/>
      </c>
      <c r="N70" s="1" t="str">
        <f t="shared" si="9"/>
        <v/>
      </c>
      <c r="O70" s="1" t="str">
        <f t="shared" si="5"/>
        <v/>
      </c>
    </row>
    <row r="71" spans="1:15" x14ac:dyDescent="0.2">
      <c r="A71" s="7">
        <v>2026</v>
      </c>
      <c r="B71" s="7" t="s">
        <v>20</v>
      </c>
      <c r="C71" s="7" t="s">
        <v>148</v>
      </c>
      <c r="D71" s="7" t="s">
        <v>687</v>
      </c>
      <c r="E71" s="7" t="s">
        <v>687</v>
      </c>
      <c r="F71" s="7" t="s">
        <v>148</v>
      </c>
      <c r="G71" s="7" t="s">
        <v>149</v>
      </c>
      <c r="H71" s="8">
        <f>ROUND(SUMPRODUCT(SUMIF(Final!$G$4:$G$330,CashReserveLevy!D71:F71,Final!$C$4:$C$330)),0)</f>
        <v>75466834</v>
      </c>
      <c r="I71" s="8">
        <f t="shared" si="6"/>
        <v>15093367</v>
      </c>
      <c r="J71" s="8">
        <f>ROUND(SUMPRODUCT(SUMIF(Final!$G$4:$G$330,CashReserveLevy!D71:F71,Final!$E$4:$E$330)),0)</f>
        <v>8872175</v>
      </c>
      <c r="K71" s="8">
        <f t="shared" si="7"/>
        <v>6221192</v>
      </c>
      <c r="L71" s="8">
        <f>INDEX(ActualCRLevy_SAS!$A$2:$D$326,MATCH(CashReserveLevy!$C71,ActualCRLevy_SAS!$B$2:$B$326,0),4)</f>
        <v>6221192</v>
      </c>
      <c r="M71" s="31" t="str">
        <f t="shared" si="8"/>
        <v>Max</v>
      </c>
      <c r="N71" s="1" t="str">
        <f t="shared" si="9"/>
        <v/>
      </c>
      <c r="O71" s="1" t="str">
        <f t="shared" si="5"/>
        <v/>
      </c>
    </row>
    <row r="72" spans="1:15" x14ac:dyDescent="0.2">
      <c r="A72" s="7">
        <v>2026</v>
      </c>
      <c r="B72" s="7" t="s">
        <v>0</v>
      </c>
      <c r="C72" s="7" t="s">
        <v>150</v>
      </c>
      <c r="D72" s="7" t="s">
        <v>687</v>
      </c>
      <c r="E72" s="7" t="s">
        <v>687</v>
      </c>
      <c r="F72" s="7" t="s">
        <v>150</v>
      </c>
      <c r="G72" s="7" t="s">
        <v>151</v>
      </c>
      <c r="H72" s="8">
        <f>ROUND(SUMPRODUCT(SUMIF(Final!$G$4:$G$330,CashReserveLevy!D72:F72,Final!$C$4:$C$330)),0)</f>
        <v>6185648</v>
      </c>
      <c r="I72" s="8">
        <f t="shared" si="6"/>
        <v>1237130</v>
      </c>
      <c r="J72" s="8">
        <f>ROUND(SUMPRODUCT(SUMIF(Final!$G$4:$G$330,CashReserveLevy!D72:F72,Final!$E$4:$E$330)),0)</f>
        <v>2144701</v>
      </c>
      <c r="K72" s="8">
        <f t="shared" si="7"/>
        <v>0</v>
      </c>
      <c r="L72" s="8">
        <f>INDEX(ActualCRLevy_SAS!$A$2:$D$326,MATCH(CashReserveLevy!$C72,ActualCRLevy_SAS!$B$2:$B$326,0),4)</f>
        <v>0</v>
      </c>
      <c r="M72" s="31" t="str">
        <f t="shared" si="8"/>
        <v/>
      </c>
      <c r="N72" s="1" t="str">
        <f t="shared" si="9"/>
        <v/>
      </c>
      <c r="O72" s="1" t="str">
        <f t="shared" si="5"/>
        <v/>
      </c>
    </row>
    <row r="73" spans="1:15" x14ac:dyDescent="0.2">
      <c r="A73" s="7">
        <v>2026</v>
      </c>
      <c r="B73" s="7" t="s">
        <v>0</v>
      </c>
      <c r="C73" s="7" t="s">
        <v>152</v>
      </c>
      <c r="D73" s="7" t="s">
        <v>687</v>
      </c>
      <c r="E73" s="7" t="s">
        <v>687</v>
      </c>
      <c r="F73" s="7" t="s">
        <v>152</v>
      </c>
      <c r="G73" s="7" t="s">
        <v>153</v>
      </c>
      <c r="H73" s="8">
        <f>ROUND(SUMPRODUCT(SUMIF(Final!$G$4:$G$330,CashReserveLevy!D73:F73,Final!$C$4:$C$330)),0)</f>
        <v>7041403</v>
      </c>
      <c r="I73" s="8">
        <f t="shared" si="6"/>
        <v>1408281</v>
      </c>
      <c r="J73" s="8">
        <f>ROUND(SUMPRODUCT(SUMIF(Final!$G$4:$G$330,CashReserveLevy!D73:F73,Final!$E$4:$E$330)),0)</f>
        <v>540114</v>
      </c>
      <c r="K73" s="8">
        <f t="shared" si="7"/>
        <v>868167</v>
      </c>
      <c r="L73" s="8">
        <f>INDEX(ActualCRLevy_SAS!$A$2:$D$326,MATCH(CashReserveLevy!$C73,ActualCRLevy_SAS!$B$2:$B$326,0),4)</f>
        <v>500000</v>
      </c>
      <c r="M73" s="31" t="str">
        <f t="shared" si="8"/>
        <v/>
      </c>
      <c r="N73" s="1" t="str">
        <f t="shared" si="9"/>
        <v/>
      </c>
      <c r="O73" s="1" t="str">
        <f t="shared" si="5"/>
        <v/>
      </c>
    </row>
    <row r="74" spans="1:15" x14ac:dyDescent="0.2">
      <c r="A74" s="7">
        <v>2026</v>
      </c>
      <c r="B74" s="7" t="s">
        <v>37</v>
      </c>
      <c r="C74" s="7" t="s">
        <v>154</v>
      </c>
      <c r="D74" s="7" t="s">
        <v>687</v>
      </c>
      <c r="E74" s="7" t="s">
        <v>687</v>
      </c>
      <c r="F74" s="7" t="s">
        <v>154</v>
      </c>
      <c r="G74" s="7" t="s">
        <v>155</v>
      </c>
      <c r="H74" s="8">
        <f>ROUND(SUMPRODUCT(SUMIF(Final!$G$4:$G$330,CashReserveLevy!D74:F74,Final!$C$4:$C$330)),0)</f>
        <v>11130300</v>
      </c>
      <c r="I74" s="8">
        <f t="shared" si="6"/>
        <v>2226060</v>
      </c>
      <c r="J74" s="8">
        <f>ROUND(SUMPRODUCT(SUMIF(Final!$G$4:$G$330,CashReserveLevy!D74:F74,Final!$E$4:$E$330)),0)</f>
        <v>4565508</v>
      </c>
      <c r="K74" s="8">
        <f t="shared" si="7"/>
        <v>0</v>
      </c>
      <c r="L74" s="8">
        <f>INDEX(ActualCRLevy_SAS!$A$2:$D$326,MATCH(CashReserveLevy!$C74,ActualCRLevy_SAS!$B$2:$B$326,0),4)</f>
        <v>0</v>
      </c>
      <c r="M74" s="31" t="str">
        <f t="shared" si="8"/>
        <v/>
      </c>
      <c r="N74" s="1" t="str">
        <f t="shared" si="9"/>
        <v/>
      </c>
      <c r="O74" s="1" t="str">
        <f t="shared" si="5"/>
        <v/>
      </c>
    </row>
    <row r="75" spans="1:15" x14ac:dyDescent="0.2">
      <c r="A75" s="7">
        <v>2026</v>
      </c>
      <c r="B75" s="7" t="s">
        <v>0</v>
      </c>
      <c r="C75" s="7" t="s">
        <v>156</v>
      </c>
      <c r="D75" s="7" t="s">
        <v>687</v>
      </c>
      <c r="E75" s="7" t="s">
        <v>687</v>
      </c>
      <c r="F75" s="7" t="s">
        <v>156</v>
      </c>
      <c r="G75" s="7" t="s">
        <v>157</v>
      </c>
      <c r="H75" s="8">
        <f>ROUND(SUMPRODUCT(SUMIF(Final!$G$4:$G$330,CashReserveLevy!D75:F75,Final!$C$4:$C$330)),0)</f>
        <v>5592018</v>
      </c>
      <c r="I75" s="8">
        <f t="shared" si="6"/>
        <v>1118404</v>
      </c>
      <c r="J75" s="8">
        <f>ROUND(SUMPRODUCT(SUMIF(Final!$G$4:$G$330,CashReserveLevy!D75:F75,Final!$E$4:$E$330)),0)</f>
        <v>2861913</v>
      </c>
      <c r="K75" s="8">
        <f t="shared" si="7"/>
        <v>0</v>
      </c>
      <c r="L75" s="8">
        <f>INDEX(ActualCRLevy_SAS!$A$2:$D$326,MATCH(CashReserveLevy!$C75,ActualCRLevy_SAS!$B$2:$B$326,0),4)</f>
        <v>0</v>
      </c>
      <c r="M75" s="31" t="str">
        <f t="shared" si="8"/>
        <v/>
      </c>
      <c r="N75" s="1" t="str">
        <f t="shared" si="9"/>
        <v/>
      </c>
      <c r="O75" s="1" t="str">
        <f t="shared" si="5"/>
        <v/>
      </c>
    </row>
    <row r="76" spans="1:15" x14ac:dyDescent="0.2">
      <c r="A76" s="7">
        <v>2026</v>
      </c>
      <c r="B76" s="7" t="s">
        <v>8</v>
      </c>
      <c r="C76" s="7" t="s">
        <v>158</v>
      </c>
      <c r="D76" s="7" t="s">
        <v>687</v>
      </c>
      <c r="E76" s="7" t="s">
        <v>687</v>
      </c>
      <c r="F76" s="7" t="s">
        <v>158</v>
      </c>
      <c r="G76" s="7" t="s">
        <v>159</v>
      </c>
      <c r="H76" s="8">
        <f>ROUND(SUMPRODUCT(SUMIF(Final!$G$4:$G$330,CashReserveLevy!D76:F76,Final!$C$4:$C$330)),0)</f>
        <v>6664449</v>
      </c>
      <c r="I76" s="8">
        <f t="shared" si="6"/>
        <v>1332890</v>
      </c>
      <c r="J76" s="8">
        <f>ROUND(SUMPRODUCT(SUMIF(Final!$G$4:$G$330,CashReserveLevy!D76:F76,Final!$E$4:$E$330)),0)</f>
        <v>1902130</v>
      </c>
      <c r="K76" s="8">
        <f t="shared" si="7"/>
        <v>0</v>
      </c>
      <c r="L76" s="8">
        <f>INDEX(ActualCRLevy_SAS!$A$2:$D$326,MATCH(CashReserveLevy!$C76,ActualCRLevy_SAS!$B$2:$B$326,0),4)</f>
        <v>0</v>
      </c>
      <c r="M76" s="31" t="str">
        <f t="shared" si="8"/>
        <v/>
      </c>
      <c r="N76" s="1" t="str">
        <f t="shared" si="9"/>
        <v/>
      </c>
      <c r="O76" s="1" t="str">
        <f t="shared" si="5"/>
        <v/>
      </c>
    </row>
    <row r="77" spans="1:15" x14ac:dyDescent="0.2">
      <c r="A77" s="7">
        <v>2026</v>
      </c>
      <c r="B77" s="7" t="s">
        <v>8</v>
      </c>
      <c r="C77" s="7" t="s">
        <v>160</v>
      </c>
      <c r="D77" s="7" t="s">
        <v>687</v>
      </c>
      <c r="E77" s="7" t="s">
        <v>687</v>
      </c>
      <c r="F77" s="7" t="s">
        <v>160</v>
      </c>
      <c r="G77" s="7" t="s">
        <v>161</v>
      </c>
      <c r="H77" s="8">
        <f>ROUND(SUMPRODUCT(SUMIF(Final!$G$4:$G$330,CashReserveLevy!D77:F77,Final!$C$4:$C$330)),0)</f>
        <v>137919452</v>
      </c>
      <c r="I77" s="8">
        <f t="shared" si="6"/>
        <v>27583890</v>
      </c>
      <c r="J77" s="8">
        <f>ROUND(SUMPRODUCT(SUMIF(Final!$G$4:$G$330,CashReserveLevy!D77:F77,Final!$E$4:$E$330)),0)</f>
        <v>6462286</v>
      </c>
      <c r="K77" s="8">
        <f t="shared" si="7"/>
        <v>21121604</v>
      </c>
      <c r="L77" s="8">
        <f>INDEX(ActualCRLevy_SAS!$A$2:$D$326,MATCH(CashReserveLevy!$C77,ActualCRLevy_SAS!$B$2:$B$326,0),4)</f>
        <v>6100000</v>
      </c>
      <c r="M77" s="31" t="str">
        <f t="shared" si="8"/>
        <v/>
      </c>
      <c r="N77" s="1" t="str">
        <f t="shared" si="9"/>
        <v/>
      </c>
      <c r="O77" s="1" t="str">
        <f t="shared" ref="O77:O140" si="10">IF(L77&gt;K77,"Exceedes Maximum Limit","")</f>
        <v/>
      </c>
    </row>
    <row r="78" spans="1:15" x14ac:dyDescent="0.2">
      <c r="A78" s="7">
        <v>2026</v>
      </c>
      <c r="B78" s="7" t="s">
        <v>8</v>
      </c>
      <c r="C78" s="7" t="s">
        <v>162</v>
      </c>
      <c r="D78" s="7" t="s">
        <v>687</v>
      </c>
      <c r="E78" s="7" t="s">
        <v>687</v>
      </c>
      <c r="F78" s="7" t="s">
        <v>162</v>
      </c>
      <c r="G78" s="7" t="s">
        <v>163</v>
      </c>
      <c r="H78" s="8">
        <f>ROUND(SUMPRODUCT(SUMIF(Final!$G$4:$G$330,CashReserveLevy!D78:F78,Final!$C$4:$C$330)),0)</f>
        <v>18528702</v>
      </c>
      <c r="I78" s="8">
        <f t="shared" si="6"/>
        <v>3705740</v>
      </c>
      <c r="J78" s="8">
        <f>ROUND(SUMPRODUCT(SUMIF(Final!$G$4:$G$330,CashReserveLevy!D78:F78,Final!$E$4:$E$330)),0)</f>
        <v>5857453</v>
      </c>
      <c r="K78" s="8">
        <f t="shared" si="7"/>
        <v>0</v>
      </c>
      <c r="L78" s="8">
        <f>INDEX(ActualCRLevy_SAS!$A$2:$D$326,MATCH(CashReserveLevy!$C78,ActualCRLevy_SAS!$B$2:$B$326,0),4)</f>
        <v>0</v>
      </c>
      <c r="M78" s="31" t="str">
        <f t="shared" si="8"/>
        <v/>
      </c>
      <c r="N78" s="1" t="str">
        <f t="shared" si="9"/>
        <v/>
      </c>
      <c r="O78" s="1" t="str">
        <f t="shared" si="10"/>
        <v/>
      </c>
    </row>
    <row r="79" spans="1:15" x14ac:dyDescent="0.2">
      <c r="A79" s="7">
        <v>2026</v>
      </c>
      <c r="B79" s="7" t="s">
        <v>0</v>
      </c>
      <c r="C79" s="7" t="s">
        <v>164</v>
      </c>
      <c r="D79" s="7" t="s">
        <v>687</v>
      </c>
      <c r="E79" s="7" t="s">
        <v>687</v>
      </c>
      <c r="F79" s="7" t="s">
        <v>164</v>
      </c>
      <c r="G79" s="7" t="s">
        <v>165</v>
      </c>
      <c r="H79" s="8">
        <f>ROUND(SUMPRODUCT(SUMIF(Final!$G$4:$G$330,CashReserveLevy!D79:F79,Final!$C$4:$C$330)),0)</f>
        <v>46173866</v>
      </c>
      <c r="I79" s="8">
        <f t="shared" si="6"/>
        <v>9234773</v>
      </c>
      <c r="J79" s="8">
        <f>ROUND(SUMPRODUCT(SUMIF(Final!$G$4:$G$330,CashReserveLevy!D79:F79,Final!$E$4:$E$330)),0)</f>
        <v>8939303</v>
      </c>
      <c r="K79" s="8">
        <f t="shared" si="7"/>
        <v>295470</v>
      </c>
      <c r="L79" s="8">
        <f>INDEX(ActualCRLevy_SAS!$A$2:$D$326,MATCH(CashReserveLevy!$C79,ActualCRLevy_SAS!$B$2:$B$326,0),4)</f>
        <v>295470</v>
      </c>
      <c r="M79" s="31" t="str">
        <f t="shared" si="8"/>
        <v>Max</v>
      </c>
      <c r="N79" s="1" t="str">
        <f t="shared" si="9"/>
        <v/>
      </c>
      <c r="O79" s="1" t="str">
        <f t="shared" si="10"/>
        <v/>
      </c>
    </row>
    <row r="80" spans="1:15" x14ac:dyDescent="0.2">
      <c r="A80" s="7">
        <v>2026</v>
      </c>
      <c r="B80" s="7" t="s">
        <v>17</v>
      </c>
      <c r="C80" s="7" t="s">
        <v>166</v>
      </c>
      <c r="D80" s="7" t="s">
        <v>687</v>
      </c>
      <c r="E80" s="7" t="s">
        <v>687</v>
      </c>
      <c r="F80" s="7" t="s">
        <v>166</v>
      </c>
      <c r="G80" s="7" t="s">
        <v>167</v>
      </c>
      <c r="H80" s="8">
        <f>ROUND(SUMPRODUCT(SUMIF(Final!$G$4:$G$330,CashReserveLevy!D80:F80,Final!$C$4:$C$330)),0)</f>
        <v>8574535</v>
      </c>
      <c r="I80" s="8">
        <f t="shared" si="6"/>
        <v>1714907</v>
      </c>
      <c r="J80" s="8">
        <f>ROUND(SUMPRODUCT(SUMIF(Final!$G$4:$G$330,CashReserveLevy!D80:F80,Final!$E$4:$E$330)),0)</f>
        <v>1420139</v>
      </c>
      <c r="K80" s="8">
        <f t="shared" si="7"/>
        <v>294768</v>
      </c>
      <c r="L80" s="8">
        <f>INDEX(ActualCRLevy_SAS!$A$2:$D$326,MATCH(CashReserveLevy!$C80,ActualCRLevy_SAS!$B$2:$B$326,0),4)</f>
        <v>294768</v>
      </c>
      <c r="M80" s="31" t="str">
        <f t="shared" si="8"/>
        <v>Max</v>
      </c>
      <c r="N80" s="1" t="str">
        <f t="shared" si="9"/>
        <v/>
      </c>
      <c r="O80" s="1" t="str">
        <f t="shared" si="10"/>
        <v/>
      </c>
    </row>
    <row r="81" spans="1:15" x14ac:dyDescent="0.2">
      <c r="A81" s="7">
        <v>2026</v>
      </c>
      <c r="B81" s="7" t="s">
        <v>37</v>
      </c>
      <c r="C81" s="7" t="s">
        <v>168</v>
      </c>
      <c r="D81" s="7" t="s">
        <v>687</v>
      </c>
      <c r="E81" s="7" t="s">
        <v>687</v>
      </c>
      <c r="F81" s="7" t="s">
        <v>168</v>
      </c>
      <c r="G81" s="7" t="s">
        <v>169</v>
      </c>
      <c r="H81" s="8">
        <f>ROUND(SUMPRODUCT(SUMIF(Final!$G$4:$G$330,CashReserveLevy!D81:F81,Final!$C$4:$C$330)),0)</f>
        <v>225432847</v>
      </c>
      <c r="I81" s="8">
        <f t="shared" si="6"/>
        <v>45086569</v>
      </c>
      <c r="J81" s="8">
        <f>ROUND(SUMPRODUCT(SUMIF(Final!$G$4:$G$330,CashReserveLevy!D81:F81,Final!$E$4:$E$330)),0)</f>
        <v>52915084</v>
      </c>
      <c r="K81" s="8">
        <f t="shared" si="7"/>
        <v>0</v>
      </c>
      <c r="L81" s="8">
        <f>INDEX(ActualCRLevy_SAS!$A$2:$D$326,MATCH(CashReserveLevy!$C81,ActualCRLevy_SAS!$B$2:$B$326,0),4)</f>
        <v>0</v>
      </c>
      <c r="M81" s="31" t="str">
        <f t="shared" si="8"/>
        <v/>
      </c>
      <c r="N81" s="1" t="str">
        <f t="shared" si="9"/>
        <v/>
      </c>
      <c r="O81" s="1" t="str">
        <f t="shared" si="10"/>
        <v/>
      </c>
    </row>
    <row r="82" spans="1:15" x14ac:dyDescent="0.2">
      <c r="A82" s="7">
        <v>2026</v>
      </c>
      <c r="B82" s="7" t="s">
        <v>17</v>
      </c>
      <c r="C82" s="7" t="s">
        <v>170</v>
      </c>
      <c r="D82" s="7" t="s">
        <v>687</v>
      </c>
      <c r="E82" s="7" t="s">
        <v>687</v>
      </c>
      <c r="F82" s="7" t="s">
        <v>170</v>
      </c>
      <c r="G82" s="7" t="s">
        <v>171</v>
      </c>
      <c r="H82" s="8">
        <f>ROUND(SUMPRODUCT(SUMIF(Final!$G$4:$G$330,CashReserveLevy!D82:F82,Final!$C$4:$C$330)),0)</f>
        <v>19344894</v>
      </c>
      <c r="I82" s="8">
        <f t="shared" si="6"/>
        <v>3868979</v>
      </c>
      <c r="J82" s="8">
        <f>ROUND(SUMPRODUCT(SUMIF(Final!$G$4:$G$330,CashReserveLevy!D82:F82,Final!$E$4:$E$330)),0)</f>
        <v>2110911</v>
      </c>
      <c r="K82" s="8">
        <f t="shared" si="7"/>
        <v>1758068</v>
      </c>
      <c r="L82" s="8">
        <f>INDEX(ActualCRLevy_SAS!$A$2:$D$326,MATCH(CashReserveLevy!$C82,ActualCRLevy_SAS!$B$2:$B$326,0),4)</f>
        <v>1490000</v>
      </c>
      <c r="M82" s="31" t="str">
        <f t="shared" si="8"/>
        <v/>
      </c>
      <c r="N82" s="1" t="str">
        <f t="shared" si="9"/>
        <v/>
      </c>
      <c r="O82" s="1" t="str">
        <f t="shared" si="10"/>
        <v/>
      </c>
    </row>
    <row r="83" spans="1:15" x14ac:dyDescent="0.2">
      <c r="A83" s="7">
        <v>2026</v>
      </c>
      <c r="B83" s="7" t="s">
        <v>28</v>
      </c>
      <c r="C83" s="7" t="s">
        <v>172</v>
      </c>
      <c r="D83" s="7" t="s">
        <v>687</v>
      </c>
      <c r="E83" s="7" t="s">
        <v>687</v>
      </c>
      <c r="F83" s="7" t="s">
        <v>172</v>
      </c>
      <c r="G83" s="7" t="s">
        <v>173</v>
      </c>
      <c r="H83" s="8">
        <f>ROUND(SUMPRODUCT(SUMIF(Final!$G$4:$G$330,CashReserveLevy!D83:F83,Final!$C$4:$C$330)),0)</f>
        <v>23396051</v>
      </c>
      <c r="I83" s="8">
        <f t="shared" si="6"/>
        <v>4679210</v>
      </c>
      <c r="J83" s="8">
        <f>ROUND(SUMPRODUCT(SUMIF(Final!$G$4:$G$330,CashReserveLevy!D83:F83,Final!$E$4:$E$330)),0)</f>
        <v>3110715</v>
      </c>
      <c r="K83" s="8">
        <f t="shared" si="7"/>
        <v>1568495</v>
      </c>
      <c r="L83" s="8">
        <f>INDEX(ActualCRLevy_SAS!$A$2:$D$326,MATCH(CashReserveLevy!$C83,ActualCRLevy_SAS!$B$2:$B$326,0),4)</f>
        <v>845012</v>
      </c>
      <c r="M83" s="31" t="str">
        <f t="shared" si="8"/>
        <v/>
      </c>
      <c r="N83" s="1" t="str">
        <f t="shared" si="9"/>
        <v/>
      </c>
      <c r="O83" s="1" t="str">
        <f t="shared" si="10"/>
        <v/>
      </c>
    </row>
    <row r="84" spans="1:15" x14ac:dyDescent="0.2">
      <c r="A84" s="7">
        <v>2026</v>
      </c>
      <c r="B84" s="7" t="s">
        <v>37</v>
      </c>
      <c r="C84" s="7" t="s">
        <v>174</v>
      </c>
      <c r="D84" s="7" t="s">
        <v>687</v>
      </c>
      <c r="E84" s="7" t="s">
        <v>687</v>
      </c>
      <c r="F84" s="7" t="s">
        <v>174</v>
      </c>
      <c r="G84" s="7" t="s">
        <v>175</v>
      </c>
      <c r="H84" s="8">
        <f>ROUND(SUMPRODUCT(SUMIF(Final!$G$4:$G$330,CashReserveLevy!D84:F84,Final!$C$4:$C$330)),0)</f>
        <v>3391941</v>
      </c>
      <c r="I84" s="8">
        <f t="shared" si="6"/>
        <v>678388</v>
      </c>
      <c r="J84" s="8">
        <f>ROUND(SUMPRODUCT(SUMIF(Final!$G$4:$G$330,CashReserveLevy!D84:F84,Final!$E$4:$E$330)),0)</f>
        <v>821537</v>
      </c>
      <c r="K84" s="8">
        <f t="shared" si="7"/>
        <v>0</v>
      </c>
      <c r="L84" s="8">
        <f>INDEX(ActualCRLevy_SAS!$A$2:$D$326,MATCH(CashReserveLevy!$C84,ActualCRLevy_SAS!$B$2:$B$326,0),4)</f>
        <v>0</v>
      </c>
      <c r="M84" s="31" t="str">
        <f t="shared" si="8"/>
        <v/>
      </c>
      <c r="N84" s="1" t="str">
        <f t="shared" si="9"/>
        <v/>
      </c>
      <c r="O84" s="1" t="str">
        <f t="shared" si="10"/>
        <v/>
      </c>
    </row>
    <row r="85" spans="1:15" x14ac:dyDescent="0.2">
      <c r="A85" s="7">
        <v>2026</v>
      </c>
      <c r="B85" s="7" t="s">
        <v>11</v>
      </c>
      <c r="C85" s="7" t="s">
        <v>176</v>
      </c>
      <c r="D85" s="7" t="s">
        <v>687</v>
      </c>
      <c r="E85" s="7" t="s">
        <v>687</v>
      </c>
      <c r="F85" s="7" t="s">
        <v>176</v>
      </c>
      <c r="G85" s="7" t="s">
        <v>177</v>
      </c>
      <c r="H85" s="8">
        <f>ROUND(SUMPRODUCT(SUMIF(Final!$G$4:$G$330,CashReserveLevy!D85:F85,Final!$C$4:$C$330)),0)</f>
        <v>29289792</v>
      </c>
      <c r="I85" s="8">
        <f t="shared" si="6"/>
        <v>5857958</v>
      </c>
      <c r="J85" s="8">
        <f>ROUND(SUMPRODUCT(SUMIF(Final!$G$4:$G$330,CashReserveLevy!D85:F85,Final!$E$4:$E$330)),0)</f>
        <v>8555651</v>
      </c>
      <c r="K85" s="8">
        <f t="shared" si="7"/>
        <v>0</v>
      </c>
      <c r="L85" s="8">
        <f>INDEX(ActualCRLevy_SAS!$A$2:$D$326,MATCH(CashReserveLevy!$C85,ActualCRLevy_SAS!$B$2:$B$326,0),4)</f>
        <v>0</v>
      </c>
      <c r="M85" s="31" t="str">
        <f t="shared" si="8"/>
        <v/>
      </c>
      <c r="N85" s="1" t="str">
        <f t="shared" si="9"/>
        <v/>
      </c>
      <c r="O85" s="1" t="str">
        <f t="shared" si="10"/>
        <v/>
      </c>
    </row>
    <row r="86" spans="1:15" x14ac:dyDescent="0.2">
      <c r="A86" s="7">
        <v>2026</v>
      </c>
      <c r="B86" s="7" t="s">
        <v>5</v>
      </c>
      <c r="C86" s="7" t="s">
        <v>178</v>
      </c>
      <c r="D86" s="7" t="s">
        <v>687</v>
      </c>
      <c r="E86" s="7" t="s">
        <v>687</v>
      </c>
      <c r="F86" s="7" t="s">
        <v>178</v>
      </c>
      <c r="G86" s="7" t="s">
        <v>179</v>
      </c>
      <c r="H86" s="8">
        <f>ROUND(SUMPRODUCT(SUMIF(Final!$G$4:$G$330,CashReserveLevy!D86:F86,Final!$C$4:$C$330)),0)</f>
        <v>11076623</v>
      </c>
      <c r="I86" s="8">
        <f t="shared" si="6"/>
        <v>2215325</v>
      </c>
      <c r="J86" s="8">
        <f>ROUND(SUMPRODUCT(SUMIF(Final!$G$4:$G$330,CashReserveLevy!D86:F86,Final!$E$4:$E$330)),0)</f>
        <v>1639285</v>
      </c>
      <c r="K86" s="8">
        <f t="shared" si="7"/>
        <v>576040</v>
      </c>
      <c r="L86" s="8">
        <f>INDEX(ActualCRLevy_SAS!$A$2:$D$326,MATCH(CashReserveLevy!$C86,ActualCRLevy_SAS!$B$2:$B$326,0),4)</f>
        <v>445952</v>
      </c>
      <c r="M86" s="31" t="str">
        <f t="shared" si="8"/>
        <v/>
      </c>
      <c r="N86" s="1" t="str">
        <f t="shared" si="9"/>
        <v/>
      </c>
      <c r="O86" s="1" t="str">
        <f t="shared" si="10"/>
        <v/>
      </c>
    </row>
    <row r="87" spans="1:15" x14ac:dyDescent="0.2">
      <c r="A87" s="7">
        <v>2026</v>
      </c>
      <c r="B87" s="7" t="s">
        <v>0</v>
      </c>
      <c r="C87" s="7" t="s">
        <v>180</v>
      </c>
      <c r="D87" s="7" t="s">
        <v>687</v>
      </c>
      <c r="E87" s="7" t="s">
        <v>687</v>
      </c>
      <c r="F87" s="7" t="s">
        <v>180</v>
      </c>
      <c r="G87" s="7" t="s">
        <v>181</v>
      </c>
      <c r="H87" s="8">
        <f>ROUND(SUMPRODUCT(SUMIF(Final!$G$4:$G$330,CashReserveLevy!D87:F87,Final!$C$4:$C$330)),0)</f>
        <v>485453817</v>
      </c>
      <c r="I87" s="8">
        <f t="shared" si="6"/>
        <v>97090763</v>
      </c>
      <c r="J87" s="8">
        <f>ROUND(SUMPRODUCT(SUMIF(Final!$G$4:$G$330,CashReserveLevy!D87:F87,Final!$E$4:$E$330)),0)</f>
        <v>164462396</v>
      </c>
      <c r="K87" s="8">
        <f t="shared" si="7"/>
        <v>0</v>
      </c>
      <c r="L87" s="8">
        <f>INDEX(ActualCRLevy_SAS!$A$2:$D$326,MATCH(CashReserveLevy!$C87,ActualCRLevy_SAS!$B$2:$B$326,0),4)</f>
        <v>0</v>
      </c>
      <c r="M87" s="31" t="str">
        <f t="shared" si="8"/>
        <v/>
      </c>
      <c r="N87" s="1" t="str">
        <f t="shared" si="9"/>
        <v/>
      </c>
      <c r="O87" s="1" t="str">
        <f t="shared" si="10"/>
        <v/>
      </c>
    </row>
    <row r="88" spans="1:15" x14ac:dyDescent="0.2">
      <c r="A88" s="7">
        <v>2026</v>
      </c>
      <c r="B88" s="7" t="s">
        <v>8</v>
      </c>
      <c r="C88" s="7" t="s">
        <v>182</v>
      </c>
      <c r="D88" s="7" t="s">
        <v>687</v>
      </c>
      <c r="E88" s="7" t="s">
        <v>687</v>
      </c>
      <c r="F88" s="7" t="s">
        <v>182</v>
      </c>
      <c r="G88" s="7" t="s">
        <v>183</v>
      </c>
      <c r="H88" s="8">
        <f>ROUND(SUMPRODUCT(SUMIF(Final!$G$4:$G$330,CashReserveLevy!D88:F88,Final!$C$4:$C$330)),0)</f>
        <v>2159607</v>
      </c>
      <c r="I88" s="8">
        <f t="shared" si="6"/>
        <v>431921</v>
      </c>
      <c r="J88" s="8">
        <f>ROUND(SUMPRODUCT(SUMIF(Final!$G$4:$G$330,CashReserveLevy!D88:F88,Final!$E$4:$E$330)),0)</f>
        <v>536530</v>
      </c>
      <c r="K88" s="8">
        <f t="shared" si="7"/>
        <v>0</v>
      </c>
      <c r="L88" s="8">
        <f>INDEX(ActualCRLevy_SAS!$A$2:$D$326,MATCH(CashReserveLevy!$C88,ActualCRLevy_SAS!$B$2:$B$326,0),4)</f>
        <v>0</v>
      </c>
      <c r="M88" s="31" t="str">
        <f t="shared" si="8"/>
        <v/>
      </c>
      <c r="N88" s="1" t="str">
        <f t="shared" si="9"/>
        <v/>
      </c>
      <c r="O88" s="1" t="str">
        <f t="shared" si="10"/>
        <v/>
      </c>
    </row>
    <row r="89" spans="1:15" x14ac:dyDescent="0.2">
      <c r="A89" s="7">
        <v>2026</v>
      </c>
      <c r="B89" s="7" t="s">
        <v>5</v>
      </c>
      <c r="C89" s="7" t="s">
        <v>184</v>
      </c>
      <c r="D89" s="7" t="s">
        <v>687</v>
      </c>
      <c r="E89" s="7" t="s">
        <v>687</v>
      </c>
      <c r="F89" s="7" t="s">
        <v>184</v>
      </c>
      <c r="G89" s="7" t="s">
        <v>185</v>
      </c>
      <c r="H89" s="8">
        <f>ROUND(SUMPRODUCT(SUMIF(Final!$G$4:$G$330,CashReserveLevy!D89:F89,Final!$C$4:$C$330)),0)</f>
        <v>12018469</v>
      </c>
      <c r="I89" s="8">
        <f t="shared" si="6"/>
        <v>2403694</v>
      </c>
      <c r="J89" s="8">
        <f>ROUND(SUMPRODUCT(SUMIF(Final!$G$4:$G$330,CashReserveLevy!D89:F89,Final!$E$4:$E$330)),0)</f>
        <v>1432504</v>
      </c>
      <c r="K89" s="8">
        <f t="shared" si="7"/>
        <v>971190</v>
      </c>
      <c r="L89" s="8">
        <f>INDEX(ActualCRLevy_SAS!$A$2:$D$326,MATCH(CashReserveLevy!$C89,ActualCRLevy_SAS!$B$2:$B$326,0),4)</f>
        <v>860000</v>
      </c>
      <c r="M89" s="31" t="str">
        <f t="shared" si="8"/>
        <v/>
      </c>
      <c r="N89" s="1" t="str">
        <f t="shared" si="9"/>
        <v/>
      </c>
      <c r="O89" s="1" t="str">
        <f t="shared" si="10"/>
        <v/>
      </c>
    </row>
    <row r="90" spans="1:15" x14ac:dyDescent="0.2">
      <c r="A90" s="7">
        <v>2026</v>
      </c>
      <c r="B90" s="7" t="s">
        <v>28</v>
      </c>
      <c r="C90" s="7" t="s">
        <v>186</v>
      </c>
      <c r="D90" s="7" t="s">
        <v>687</v>
      </c>
      <c r="E90" s="7" t="s">
        <v>687</v>
      </c>
      <c r="F90" s="7" t="s">
        <v>186</v>
      </c>
      <c r="G90" s="7" t="s">
        <v>187</v>
      </c>
      <c r="H90" s="8">
        <f>ROUND(SUMPRODUCT(SUMIF(Final!$G$4:$G$330,CashReserveLevy!D90:F90,Final!$C$4:$C$330)),0)</f>
        <v>141658576</v>
      </c>
      <c r="I90" s="8">
        <f t="shared" si="6"/>
        <v>28331715</v>
      </c>
      <c r="J90" s="8">
        <f>ROUND(SUMPRODUCT(SUMIF(Final!$G$4:$G$330,CashReserveLevy!D90:F90,Final!$E$4:$E$330)),0)</f>
        <v>21314572</v>
      </c>
      <c r="K90" s="8">
        <f t="shared" si="7"/>
        <v>7017143</v>
      </c>
      <c r="L90" s="8">
        <f>INDEX(ActualCRLevy_SAS!$A$2:$D$326,MATCH(CashReserveLevy!$C90,ActualCRLevy_SAS!$B$2:$B$326,0),4)</f>
        <v>7017143</v>
      </c>
      <c r="M90" s="31" t="str">
        <f t="shared" si="8"/>
        <v>Max</v>
      </c>
      <c r="N90" s="1" t="str">
        <f t="shared" si="9"/>
        <v/>
      </c>
      <c r="O90" s="1" t="str">
        <f t="shared" si="10"/>
        <v/>
      </c>
    </row>
    <row r="91" spans="1:15" x14ac:dyDescent="0.2">
      <c r="A91" s="7">
        <v>2026</v>
      </c>
      <c r="B91" s="7" t="s">
        <v>5</v>
      </c>
      <c r="C91" s="7" t="s">
        <v>188</v>
      </c>
      <c r="D91" s="7" t="s">
        <v>687</v>
      </c>
      <c r="E91" s="7" t="s">
        <v>687</v>
      </c>
      <c r="F91" s="7" t="s">
        <v>188</v>
      </c>
      <c r="G91" s="7" t="s">
        <v>189</v>
      </c>
      <c r="H91" s="8">
        <f>ROUND(SUMPRODUCT(SUMIF(Final!$G$4:$G$330,CashReserveLevy!D91:F91,Final!$C$4:$C$330)),0)</f>
        <v>5552678</v>
      </c>
      <c r="I91" s="8">
        <f t="shared" si="6"/>
        <v>1110536</v>
      </c>
      <c r="J91" s="8">
        <f>ROUND(SUMPRODUCT(SUMIF(Final!$G$4:$G$330,CashReserveLevy!D91:F91,Final!$E$4:$E$330)),0)</f>
        <v>1634519</v>
      </c>
      <c r="K91" s="8">
        <f t="shared" si="7"/>
        <v>0</v>
      </c>
      <c r="L91" s="8">
        <f>INDEX(ActualCRLevy_SAS!$A$2:$D$326,MATCH(CashReserveLevy!$C91,ActualCRLevy_SAS!$B$2:$B$326,0),4)</f>
        <v>0</v>
      </c>
      <c r="M91" s="31" t="str">
        <f t="shared" si="8"/>
        <v/>
      </c>
      <c r="N91" s="1" t="str">
        <f t="shared" si="9"/>
        <v/>
      </c>
      <c r="O91" s="1" t="str">
        <f t="shared" si="10"/>
        <v/>
      </c>
    </row>
    <row r="92" spans="1:15" x14ac:dyDescent="0.2">
      <c r="A92" s="7">
        <v>2026</v>
      </c>
      <c r="B92" s="7" t="s">
        <v>37</v>
      </c>
      <c r="C92" s="7" t="s">
        <v>190</v>
      </c>
      <c r="D92" s="7" t="s">
        <v>687</v>
      </c>
      <c r="E92" s="7" t="s">
        <v>687</v>
      </c>
      <c r="F92" s="7" t="s">
        <v>190</v>
      </c>
      <c r="G92" s="7" t="s">
        <v>191</v>
      </c>
      <c r="H92" s="8">
        <f>ROUND(SUMPRODUCT(SUMIF(Final!$G$4:$G$330,CashReserveLevy!D92:F92,Final!$C$4:$C$330)),0)</f>
        <v>9056364</v>
      </c>
      <c r="I92" s="8">
        <f t="shared" si="6"/>
        <v>1811273</v>
      </c>
      <c r="J92" s="8">
        <f>ROUND(SUMPRODUCT(SUMIF(Final!$G$4:$G$330,CashReserveLevy!D92:F92,Final!$E$4:$E$330)),0)</f>
        <v>1375491</v>
      </c>
      <c r="K92" s="8">
        <f t="shared" si="7"/>
        <v>435782</v>
      </c>
      <c r="L92" s="8">
        <f>INDEX(ActualCRLevy_SAS!$A$2:$D$326,MATCH(CashReserveLevy!$C92,ActualCRLevy_SAS!$B$2:$B$326,0),4)</f>
        <v>435782</v>
      </c>
      <c r="M92" s="31" t="str">
        <f t="shared" si="8"/>
        <v>Max</v>
      </c>
      <c r="N92" s="1" t="str">
        <f t="shared" si="9"/>
        <v/>
      </c>
      <c r="O92" s="1" t="str">
        <f t="shared" si="10"/>
        <v/>
      </c>
    </row>
    <row r="93" spans="1:15" x14ac:dyDescent="0.2">
      <c r="A93" s="7">
        <v>2026</v>
      </c>
      <c r="B93" s="7" t="s">
        <v>14</v>
      </c>
      <c r="C93" s="7" t="s">
        <v>192</v>
      </c>
      <c r="D93" s="7" t="s">
        <v>687</v>
      </c>
      <c r="E93" s="7" t="s">
        <v>687</v>
      </c>
      <c r="F93" s="7" t="s">
        <v>192</v>
      </c>
      <c r="G93" s="7" t="s">
        <v>193</v>
      </c>
      <c r="H93" s="8">
        <f>ROUND(SUMPRODUCT(SUMIF(Final!$G$4:$G$330,CashReserveLevy!D93:F93,Final!$C$4:$C$330)),0)</f>
        <v>13272008</v>
      </c>
      <c r="I93" s="8">
        <f t="shared" si="6"/>
        <v>2654402</v>
      </c>
      <c r="J93" s="8">
        <f>ROUND(SUMPRODUCT(SUMIF(Final!$G$4:$G$330,CashReserveLevy!D93:F93,Final!$E$4:$E$330)),0)</f>
        <v>5848922</v>
      </c>
      <c r="K93" s="8">
        <f t="shared" si="7"/>
        <v>0</v>
      </c>
      <c r="L93" s="8">
        <f>INDEX(ActualCRLevy_SAS!$A$2:$D$326,MATCH(CashReserveLevy!$C93,ActualCRLevy_SAS!$B$2:$B$326,0),4)</f>
        <v>0</v>
      </c>
      <c r="M93" s="31" t="str">
        <f t="shared" si="8"/>
        <v/>
      </c>
      <c r="N93" s="1" t="str">
        <f t="shared" si="9"/>
        <v/>
      </c>
      <c r="O93" s="1" t="str">
        <f t="shared" si="10"/>
        <v/>
      </c>
    </row>
    <row r="94" spans="1:15" x14ac:dyDescent="0.2">
      <c r="A94" s="7">
        <v>2026</v>
      </c>
      <c r="B94" s="7" t="s">
        <v>0</v>
      </c>
      <c r="C94" s="7" t="s">
        <v>194</v>
      </c>
      <c r="D94" s="7" t="s">
        <v>687</v>
      </c>
      <c r="E94" s="7" t="s">
        <v>687</v>
      </c>
      <c r="F94" s="7" t="s">
        <v>194</v>
      </c>
      <c r="G94" s="7" t="s">
        <v>195</v>
      </c>
      <c r="H94" s="8">
        <f>ROUND(SUMPRODUCT(SUMIF(Final!$G$4:$G$330,CashReserveLevy!D94:F94,Final!$C$4:$C$330)),0)</f>
        <v>8221925</v>
      </c>
      <c r="I94" s="8">
        <f t="shared" si="6"/>
        <v>1644385</v>
      </c>
      <c r="J94" s="8">
        <f>ROUND(SUMPRODUCT(SUMIF(Final!$G$4:$G$330,CashReserveLevy!D94:F94,Final!$E$4:$E$330)),0)</f>
        <v>1936367</v>
      </c>
      <c r="K94" s="8">
        <f t="shared" si="7"/>
        <v>0</v>
      </c>
      <c r="L94" s="8">
        <f>INDEX(ActualCRLevy_SAS!$A$2:$D$326,MATCH(CashReserveLevy!$C94,ActualCRLevy_SAS!$B$2:$B$326,0),4)</f>
        <v>0</v>
      </c>
      <c r="M94" s="31" t="str">
        <f t="shared" si="8"/>
        <v/>
      </c>
      <c r="N94" s="1" t="str">
        <f t="shared" si="9"/>
        <v/>
      </c>
      <c r="O94" s="1" t="str">
        <f t="shared" si="10"/>
        <v/>
      </c>
    </row>
    <row r="95" spans="1:15" x14ac:dyDescent="0.2">
      <c r="A95" s="7">
        <v>2026</v>
      </c>
      <c r="B95" s="7" t="s">
        <v>5</v>
      </c>
      <c r="C95" s="7" t="s">
        <v>196</v>
      </c>
      <c r="D95" s="7" t="s">
        <v>687</v>
      </c>
      <c r="E95" s="7" t="s">
        <v>687</v>
      </c>
      <c r="F95" s="7" t="s">
        <v>196</v>
      </c>
      <c r="G95" s="7" t="s">
        <v>197</v>
      </c>
      <c r="H95" s="8">
        <f>ROUND(SUMPRODUCT(SUMIF(Final!$G$4:$G$330,CashReserveLevy!D95:F95,Final!$C$4:$C$330)),0)</f>
        <v>8573603</v>
      </c>
      <c r="I95" s="8">
        <f t="shared" si="6"/>
        <v>1714721</v>
      </c>
      <c r="J95" s="8">
        <f>ROUND(SUMPRODUCT(SUMIF(Final!$G$4:$G$330,CashReserveLevy!D95:F95,Final!$E$4:$E$330)),0)</f>
        <v>785323</v>
      </c>
      <c r="K95" s="8">
        <f t="shared" si="7"/>
        <v>929398</v>
      </c>
      <c r="L95" s="8">
        <f>INDEX(ActualCRLevy_SAS!$A$2:$D$326,MATCH(CashReserveLevy!$C95,ActualCRLevy_SAS!$B$2:$B$326,0),4)</f>
        <v>300000</v>
      </c>
      <c r="M95" s="31" t="str">
        <f t="shared" si="8"/>
        <v/>
      </c>
      <c r="N95" s="1" t="str">
        <f t="shared" si="9"/>
        <v/>
      </c>
      <c r="O95" s="1" t="str">
        <f t="shared" si="10"/>
        <v/>
      </c>
    </row>
    <row r="96" spans="1:15" x14ac:dyDescent="0.2">
      <c r="A96" s="7">
        <v>2026</v>
      </c>
      <c r="B96" s="7" t="s">
        <v>5</v>
      </c>
      <c r="C96" s="7" t="s">
        <v>198</v>
      </c>
      <c r="D96" s="7" t="s">
        <v>687</v>
      </c>
      <c r="E96" s="7" t="s">
        <v>687</v>
      </c>
      <c r="F96" s="7" t="s">
        <v>199</v>
      </c>
      <c r="G96" s="7" t="s">
        <v>200</v>
      </c>
      <c r="H96" s="8">
        <f>ROUND(SUMPRODUCT(SUMIF(Final!$G$4:$G$330,CashReserveLevy!D96:F96,Final!$C$4:$C$330)),0)</f>
        <v>9588721</v>
      </c>
      <c r="I96" s="8">
        <f t="shared" si="6"/>
        <v>1917744</v>
      </c>
      <c r="J96" s="8">
        <f>ROUND(SUMPRODUCT(SUMIF(Final!$G$4:$G$330,CashReserveLevy!D96:F96,Final!$E$4:$E$330)),0)</f>
        <v>2977454</v>
      </c>
      <c r="K96" s="8">
        <f t="shared" si="7"/>
        <v>0</v>
      </c>
      <c r="L96" s="8">
        <f>INDEX(ActualCRLevy_SAS!$A$2:$D$326,MATCH(CashReserveLevy!$C96,ActualCRLevy_SAS!$B$2:$B$326,0),4)</f>
        <v>0</v>
      </c>
      <c r="M96" s="31" t="str">
        <f t="shared" si="8"/>
        <v/>
      </c>
      <c r="N96" s="1" t="str">
        <f t="shared" si="9"/>
        <v/>
      </c>
      <c r="O96" s="1" t="str">
        <f t="shared" si="10"/>
        <v/>
      </c>
    </row>
    <row r="97" spans="1:15" x14ac:dyDescent="0.2">
      <c r="A97" s="7">
        <v>2026</v>
      </c>
      <c r="B97" s="7" t="s">
        <v>8</v>
      </c>
      <c r="C97" s="7" t="s">
        <v>201</v>
      </c>
      <c r="D97" s="7" t="s">
        <v>687</v>
      </c>
      <c r="E97" s="7" t="s">
        <v>687</v>
      </c>
      <c r="F97" s="7" t="s">
        <v>201</v>
      </c>
      <c r="G97" s="7" t="s">
        <v>202</v>
      </c>
      <c r="H97" s="8">
        <f>ROUND(SUMPRODUCT(SUMIF(Final!$G$4:$G$330,CashReserveLevy!D97:F97,Final!$C$4:$C$330)),0)</f>
        <v>8859378</v>
      </c>
      <c r="I97" s="8">
        <f t="shared" si="6"/>
        <v>1771876</v>
      </c>
      <c r="J97" s="8">
        <f>ROUND(SUMPRODUCT(SUMIF(Final!$G$4:$G$330,CashReserveLevy!D97:F97,Final!$E$4:$E$330)),0)</f>
        <v>4095886</v>
      </c>
      <c r="K97" s="8">
        <f t="shared" si="7"/>
        <v>0</v>
      </c>
      <c r="L97" s="8">
        <f>INDEX(ActualCRLevy_SAS!$A$2:$D$326,MATCH(CashReserveLevy!$C97,ActualCRLevy_SAS!$B$2:$B$326,0),4)</f>
        <v>0</v>
      </c>
      <c r="M97" s="31" t="str">
        <f t="shared" si="8"/>
        <v/>
      </c>
      <c r="N97" s="1" t="str">
        <f t="shared" si="9"/>
        <v/>
      </c>
      <c r="O97" s="1" t="str">
        <f t="shared" si="10"/>
        <v/>
      </c>
    </row>
    <row r="98" spans="1:15" x14ac:dyDescent="0.2">
      <c r="A98" s="7">
        <v>2026</v>
      </c>
      <c r="B98" s="7" t="s">
        <v>14</v>
      </c>
      <c r="C98" s="7" t="s">
        <v>203</v>
      </c>
      <c r="D98" s="7" t="s">
        <v>687</v>
      </c>
      <c r="E98" s="7" t="s">
        <v>687</v>
      </c>
      <c r="F98" s="7" t="s">
        <v>203</v>
      </c>
      <c r="G98" s="7" t="s">
        <v>204</v>
      </c>
      <c r="H98" s="8">
        <f>ROUND(SUMPRODUCT(SUMIF(Final!$G$4:$G$330,CashReserveLevy!D98:F98,Final!$C$4:$C$330)),0)</f>
        <v>10575244</v>
      </c>
      <c r="I98" s="8">
        <f t="shared" si="6"/>
        <v>2115049</v>
      </c>
      <c r="J98" s="8">
        <f>ROUND(SUMPRODUCT(SUMIF(Final!$G$4:$G$330,CashReserveLevy!D98:F98,Final!$E$4:$E$330)),0)</f>
        <v>2132940</v>
      </c>
      <c r="K98" s="8">
        <f t="shared" si="7"/>
        <v>0</v>
      </c>
      <c r="L98" s="8">
        <f>INDEX(ActualCRLevy_SAS!$A$2:$D$326,MATCH(CashReserveLevy!$C98,ActualCRLevy_SAS!$B$2:$B$326,0),4)</f>
        <v>0</v>
      </c>
      <c r="M98" s="31" t="str">
        <f t="shared" si="8"/>
        <v/>
      </c>
      <c r="N98" s="1" t="str">
        <f t="shared" si="9"/>
        <v/>
      </c>
      <c r="O98" s="1" t="str">
        <f t="shared" si="10"/>
        <v/>
      </c>
    </row>
    <row r="99" spans="1:15" x14ac:dyDescent="0.2">
      <c r="A99" s="7">
        <v>2026</v>
      </c>
      <c r="B99" s="7" t="s">
        <v>8</v>
      </c>
      <c r="C99" s="7" t="s">
        <v>205</v>
      </c>
      <c r="D99" s="7" t="s">
        <v>687</v>
      </c>
      <c r="E99" s="7" t="s">
        <v>687</v>
      </c>
      <c r="F99" s="7" t="s">
        <v>205</v>
      </c>
      <c r="G99" s="7" t="s">
        <v>206</v>
      </c>
      <c r="H99" s="8">
        <f>ROUND(SUMPRODUCT(SUMIF(Final!$G$4:$G$330,CashReserveLevy!D99:F99,Final!$C$4:$C$330)),0)</f>
        <v>7870002</v>
      </c>
      <c r="I99" s="8">
        <f t="shared" si="6"/>
        <v>1574000</v>
      </c>
      <c r="J99" s="8">
        <f>ROUND(SUMPRODUCT(SUMIF(Final!$G$4:$G$330,CashReserveLevy!D99:F99,Final!$E$4:$E$330)),0)</f>
        <v>2407793</v>
      </c>
      <c r="K99" s="8">
        <f t="shared" si="7"/>
        <v>0</v>
      </c>
      <c r="L99" s="8">
        <f>INDEX(ActualCRLevy_SAS!$A$2:$D$326,MATCH(CashReserveLevy!$C99,ActualCRLevy_SAS!$B$2:$B$326,0),4)</f>
        <v>0</v>
      </c>
      <c r="M99" s="31" t="str">
        <f t="shared" si="8"/>
        <v/>
      </c>
      <c r="N99" s="1" t="str">
        <f t="shared" si="9"/>
        <v/>
      </c>
      <c r="O99" s="1" t="str">
        <f t="shared" si="10"/>
        <v/>
      </c>
    </row>
    <row r="100" spans="1:15" x14ac:dyDescent="0.2">
      <c r="A100" s="7">
        <v>2026</v>
      </c>
      <c r="B100" s="7" t="s">
        <v>28</v>
      </c>
      <c r="C100" s="7" t="s">
        <v>207</v>
      </c>
      <c r="D100" s="7" t="s">
        <v>687</v>
      </c>
      <c r="E100" s="7" t="s">
        <v>687</v>
      </c>
      <c r="F100" s="7" t="s">
        <v>207</v>
      </c>
      <c r="G100" s="7" t="s">
        <v>208</v>
      </c>
      <c r="H100" s="8">
        <f>ROUND(SUMPRODUCT(SUMIF(Final!$G$4:$G$330,CashReserveLevy!D100:F100,Final!$C$4:$C$330)),0)</f>
        <v>5093415</v>
      </c>
      <c r="I100" s="8">
        <f t="shared" si="6"/>
        <v>1018683</v>
      </c>
      <c r="J100" s="8">
        <f>ROUND(SUMPRODUCT(SUMIF(Final!$G$4:$G$330,CashReserveLevy!D100:F100,Final!$E$4:$E$330)),0)</f>
        <v>510208</v>
      </c>
      <c r="K100" s="8">
        <f t="shared" si="7"/>
        <v>508475</v>
      </c>
      <c r="L100" s="8">
        <f>INDEX(ActualCRLevy_SAS!$A$2:$D$326,MATCH(CashReserveLevy!$C100,ActualCRLevy_SAS!$B$2:$B$326,0),4)</f>
        <v>508475</v>
      </c>
      <c r="M100" s="31" t="str">
        <f t="shared" si="8"/>
        <v>Max</v>
      </c>
      <c r="N100" s="1" t="str">
        <f t="shared" si="9"/>
        <v/>
      </c>
      <c r="O100" s="1" t="str">
        <f t="shared" si="10"/>
        <v/>
      </c>
    </row>
    <row r="101" spans="1:15" x14ac:dyDescent="0.2">
      <c r="A101" s="7">
        <v>2026</v>
      </c>
      <c r="B101" s="7" t="s">
        <v>37</v>
      </c>
      <c r="C101" s="7" t="s">
        <v>209</v>
      </c>
      <c r="D101" s="7" t="s">
        <v>687</v>
      </c>
      <c r="E101" s="7" t="s">
        <v>687</v>
      </c>
      <c r="F101" s="7" t="s">
        <v>209</v>
      </c>
      <c r="G101" s="7" t="s">
        <v>210</v>
      </c>
      <c r="H101" s="8">
        <f>ROUND(SUMPRODUCT(SUMIF(Final!$G$4:$G$330,CashReserveLevy!D101:F101,Final!$C$4:$C$330)),0)</f>
        <v>8797327</v>
      </c>
      <c r="I101" s="8">
        <f t="shared" si="6"/>
        <v>1759465</v>
      </c>
      <c r="J101" s="8">
        <f>ROUND(SUMPRODUCT(SUMIF(Final!$G$4:$G$330,CashReserveLevy!D101:F101,Final!$E$4:$E$330)),0)</f>
        <v>2298512</v>
      </c>
      <c r="K101" s="8">
        <f t="shared" si="7"/>
        <v>0</v>
      </c>
      <c r="L101" s="8">
        <f>INDEX(ActualCRLevy_SAS!$A$2:$D$326,MATCH(CashReserveLevy!$C101,ActualCRLevy_SAS!$B$2:$B$326,0),4)</f>
        <v>0</v>
      </c>
      <c r="M101" s="31" t="str">
        <f t="shared" si="8"/>
        <v/>
      </c>
      <c r="N101" s="1" t="str">
        <f t="shared" si="9"/>
        <v/>
      </c>
      <c r="O101" s="1" t="str">
        <f t="shared" si="10"/>
        <v/>
      </c>
    </row>
    <row r="102" spans="1:15" x14ac:dyDescent="0.2">
      <c r="A102" s="7">
        <v>2026</v>
      </c>
      <c r="B102" s="7" t="s">
        <v>17</v>
      </c>
      <c r="C102" s="7" t="s">
        <v>211</v>
      </c>
      <c r="D102" s="7" t="s">
        <v>687</v>
      </c>
      <c r="E102" s="7" t="s">
        <v>687</v>
      </c>
      <c r="F102" s="7" t="s">
        <v>211</v>
      </c>
      <c r="G102" s="7" t="s">
        <v>212</v>
      </c>
      <c r="H102" s="8">
        <f>ROUND(SUMPRODUCT(SUMIF(Final!$G$4:$G$330,CashReserveLevy!D102:F102,Final!$C$4:$C$330)),0)</f>
        <v>14257441</v>
      </c>
      <c r="I102" s="8">
        <f t="shared" si="6"/>
        <v>2851488</v>
      </c>
      <c r="J102" s="8">
        <f>ROUND(SUMPRODUCT(SUMIF(Final!$G$4:$G$330,CashReserveLevy!D102:F102,Final!$E$4:$E$330)),0)</f>
        <v>7889855</v>
      </c>
      <c r="K102" s="8">
        <f t="shared" si="7"/>
        <v>0</v>
      </c>
      <c r="L102" s="8">
        <f>INDEX(ActualCRLevy_SAS!$A$2:$D$326,MATCH(CashReserveLevy!$C102,ActualCRLevy_SAS!$B$2:$B$326,0),4)</f>
        <v>0</v>
      </c>
      <c r="M102" s="31" t="str">
        <f t="shared" si="8"/>
        <v/>
      </c>
      <c r="N102" s="1" t="str">
        <f t="shared" si="9"/>
        <v/>
      </c>
      <c r="O102" s="1" t="str">
        <f t="shared" si="10"/>
        <v/>
      </c>
    </row>
    <row r="103" spans="1:15" x14ac:dyDescent="0.2">
      <c r="A103" s="7">
        <v>2026</v>
      </c>
      <c r="B103" s="7" t="s">
        <v>28</v>
      </c>
      <c r="C103" s="7" t="s">
        <v>213</v>
      </c>
      <c r="D103" s="7" t="s">
        <v>687</v>
      </c>
      <c r="E103" s="7" t="s">
        <v>687</v>
      </c>
      <c r="F103" s="7" t="s">
        <v>213</v>
      </c>
      <c r="G103" s="7" t="s">
        <v>214</v>
      </c>
      <c r="H103" s="8">
        <f>ROUND(SUMPRODUCT(SUMIF(Final!$G$4:$G$330,CashReserveLevy!D103:F103,Final!$C$4:$C$330)),0)</f>
        <v>6611851</v>
      </c>
      <c r="I103" s="8">
        <f t="shared" si="6"/>
        <v>1322370</v>
      </c>
      <c r="J103" s="8">
        <f>ROUND(SUMPRODUCT(SUMIF(Final!$G$4:$G$330,CashReserveLevy!D103:F103,Final!$E$4:$E$330)),0)</f>
        <v>2097565</v>
      </c>
      <c r="K103" s="8">
        <f t="shared" si="7"/>
        <v>0</v>
      </c>
      <c r="L103" s="8">
        <f>INDEX(ActualCRLevy_SAS!$A$2:$D$326,MATCH(CashReserveLevy!$C103,ActualCRLevy_SAS!$B$2:$B$326,0),4)</f>
        <v>0</v>
      </c>
      <c r="M103" s="31" t="str">
        <f t="shared" si="8"/>
        <v/>
      </c>
      <c r="N103" s="1" t="str">
        <f t="shared" si="9"/>
        <v/>
      </c>
      <c r="O103" s="1" t="str">
        <f t="shared" si="10"/>
        <v/>
      </c>
    </row>
    <row r="104" spans="1:15" x14ac:dyDescent="0.2">
      <c r="A104" s="7">
        <v>2026</v>
      </c>
      <c r="B104" s="7" t="s">
        <v>5</v>
      </c>
      <c r="C104" s="7" t="s">
        <v>215</v>
      </c>
      <c r="D104" s="7" t="s">
        <v>687</v>
      </c>
      <c r="E104" s="7" t="s">
        <v>687</v>
      </c>
      <c r="F104" s="7" t="s">
        <v>215</v>
      </c>
      <c r="G104" s="7" t="s">
        <v>216</v>
      </c>
      <c r="H104" s="8">
        <f>ROUND(SUMPRODUCT(SUMIF(Final!$G$4:$G$330,CashReserveLevy!D104:F104,Final!$C$4:$C$330)),0)</f>
        <v>9545904</v>
      </c>
      <c r="I104" s="8">
        <f t="shared" si="6"/>
        <v>1909181</v>
      </c>
      <c r="J104" s="8">
        <f>ROUND(SUMPRODUCT(SUMIF(Final!$G$4:$G$330,CashReserveLevy!D104:F104,Final!$E$4:$E$330)),0)</f>
        <v>2945635</v>
      </c>
      <c r="K104" s="8">
        <f t="shared" si="7"/>
        <v>0</v>
      </c>
      <c r="L104" s="8">
        <f>INDEX(ActualCRLevy_SAS!$A$2:$D$326,MATCH(CashReserveLevy!$C104,ActualCRLevy_SAS!$B$2:$B$326,0),4)</f>
        <v>0</v>
      </c>
      <c r="M104" s="31" t="str">
        <f t="shared" si="8"/>
        <v/>
      </c>
      <c r="N104" s="1" t="str">
        <f t="shared" si="9"/>
        <v/>
      </c>
      <c r="O104" s="1" t="str">
        <f t="shared" si="10"/>
        <v/>
      </c>
    </row>
    <row r="105" spans="1:15" x14ac:dyDescent="0.2">
      <c r="A105" s="7">
        <v>2026</v>
      </c>
      <c r="B105" s="7" t="s">
        <v>14</v>
      </c>
      <c r="C105" s="7" t="s">
        <v>217</v>
      </c>
      <c r="D105" s="7" t="s">
        <v>687</v>
      </c>
      <c r="E105" s="7" t="s">
        <v>687</v>
      </c>
      <c r="F105" s="7" t="s">
        <v>217</v>
      </c>
      <c r="G105" s="7" t="s">
        <v>218</v>
      </c>
      <c r="H105" s="8">
        <f>ROUND(SUMPRODUCT(SUMIF(Final!$G$4:$G$330,CashReserveLevy!D105:F105,Final!$C$4:$C$330)),0)</f>
        <v>9643444</v>
      </c>
      <c r="I105" s="8">
        <f t="shared" si="6"/>
        <v>1928689</v>
      </c>
      <c r="J105" s="8">
        <f>ROUND(SUMPRODUCT(SUMIF(Final!$G$4:$G$330,CashReserveLevy!D105:F105,Final!$E$4:$E$330)),0)</f>
        <v>3548170</v>
      </c>
      <c r="K105" s="8">
        <f t="shared" si="7"/>
        <v>0</v>
      </c>
      <c r="L105" s="8">
        <f>INDEX(ActualCRLevy_SAS!$A$2:$D$326,MATCH(CashReserveLevy!$C105,ActualCRLevy_SAS!$B$2:$B$326,0),4)</f>
        <v>0</v>
      </c>
      <c r="M105" s="31" t="str">
        <f t="shared" si="8"/>
        <v/>
      </c>
      <c r="N105" s="1" t="str">
        <f t="shared" si="9"/>
        <v/>
      </c>
      <c r="O105" s="1" t="str">
        <f t="shared" si="10"/>
        <v/>
      </c>
    </row>
    <row r="106" spans="1:15" x14ac:dyDescent="0.2">
      <c r="A106" s="7">
        <v>2026</v>
      </c>
      <c r="B106" s="7" t="s">
        <v>20</v>
      </c>
      <c r="C106" s="7" t="s">
        <v>219</v>
      </c>
      <c r="D106" s="7" t="s">
        <v>687</v>
      </c>
      <c r="E106" s="7" t="s">
        <v>687</v>
      </c>
      <c r="F106" s="7" t="s">
        <v>219</v>
      </c>
      <c r="G106" s="7" t="s">
        <v>220</v>
      </c>
      <c r="H106" s="8">
        <f>ROUND(SUMPRODUCT(SUMIF(Final!$G$4:$G$330,CashReserveLevy!D106:F106,Final!$C$4:$C$330)),0)</f>
        <v>6924346</v>
      </c>
      <c r="I106" s="8">
        <f t="shared" si="6"/>
        <v>1384869</v>
      </c>
      <c r="J106" s="8">
        <f>ROUND(SUMPRODUCT(SUMIF(Final!$G$4:$G$330,CashReserveLevy!D106:F106,Final!$E$4:$E$330)),0)</f>
        <v>2727254</v>
      </c>
      <c r="K106" s="8">
        <f t="shared" si="7"/>
        <v>0</v>
      </c>
      <c r="L106" s="8">
        <f>INDEX(ActualCRLevy_SAS!$A$2:$D$326,MATCH(CashReserveLevy!$C106,ActualCRLevy_SAS!$B$2:$B$326,0),4)</f>
        <v>0</v>
      </c>
      <c r="M106" s="31" t="str">
        <f t="shared" si="8"/>
        <v/>
      </c>
      <c r="N106" s="1" t="str">
        <f t="shared" si="9"/>
        <v/>
      </c>
      <c r="O106" s="1" t="str">
        <f t="shared" si="10"/>
        <v/>
      </c>
    </row>
    <row r="107" spans="1:15" x14ac:dyDescent="0.2">
      <c r="A107" s="7">
        <v>2026</v>
      </c>
      <c r="B107" s="7" t="s">
        <v>8</v>
      </c>
      <c r="C107" s="7" t="s">
        <v>221</v>
      </c>
      <c r="D107" s="7" t="s">
        <v>687</v>
      </c>
      <c r="E107" s="7" t="s">
        <v>687</v>
      </c>
      <c r="F107" s="7" t="s">
        <v>221</v>
      </c>
      <c r="G107" s="7" t="s">
        <v>222</v>
      </c>
      <c r="H107" s="8">
        <f>ROUND(SUMPRODUCT(SUMIF(Final!$G$4:$G$330,CashReserveLevy!D107:F107,Final!$C$4:$C$330)),0)</f>
        <v>3952410</v>
      </c>
      <c r="I107" s="8">
        <f t="shared" si="6"/>
        <v>790482</v>
      </c>
      <c r="J107" s="8">
        <f>ROUND(SUMPRODUCT(SUMIF(Final!$G$4:$G$330,CashReserveLevy!D107:F107,Final!$E$4:$E$330)),0)</f>
        <v>578531</v>
      </c>
      <c r="K107" s="8">
        <f t="shared" si="7"/>
        <v>211951</v>
      </c>
      <c r="L107" s="8">
        <f>INDEX(ActualCRLevy_SAS!$A$2:$D$326,MATCH(CashReserveLevy!$C107,ActualCRLevy_SAS!$B$2:$B$326,0),4)</f>
        <v>211951</v>
      </c>
      <c r="M107" s="31" t="str">
        <f t="shared" si="8"/>
        <v>Max</v>
      </c>
      <c r="N107" s="1" t="str">
        <f t="shared" si="9"/>
        <v/>
      </c>
      <c r="O107" s="1" t="str">
        <f t="shared" si="10"/>
        <v/>
      </c>
    </row>
    <row r="108" spans="1:15" x14ac:dyDescent="0.2">
      <c r="A108" s="7">
        <v>2026</v>
      </c>
      <c r="B108" s="7" t="s">
        <v>14</v>
      </c>
      <c r="C108" s="7" t="s">
        <v>223</v>
      </c>
      <c r="D108" s="7" t="s">
        <v>687</v>
      </c>
      <c r="E108" s="7" t="s">
        <v>687</v>
      </c>
      <c r="F108" s="7" t="s">
        <v>223</v>
      </c>
      <c r="G108" s="7" t="s">
        <v>224</v>
      </c>
      <c r="H108" s="8">
        <f>ROUND(SUMPRODUCT(SUMIF(Final!$G$4:$G$330,CashReserveLevy!D108:F108,Final!$C$4:$C$330)),0)</f>
        <v>16903366</v>
      </c>
      <c r="I108" s="8">
        <f t="shared" si="6"/>
        <v>3380673</v>
      </c>
      <c r="J108" s="8">
        <f>ROUND(SUMPRODUCT(SUMIF(Final!$G$4:$G$330,CashReserveLevy!D108:F108,Final!$E$4:$E$330)),0)</f>
        <v>2665088</v>
      </c>
      <c r="K108" s="8">
        <f t="shared" si="7"/>
        <v>715585</v>
      </c>
      <c r="L108" s="8">
        <f>INDEX(ActualCRLevy_SAS!$A$2:$D$326,MATCH(CashReserveLevy!$C108,ActualCRLevy_SAS!$B$2:$B$326,0),4)</f>
        <v>715585</v>
      </c>
      <c r="M108" s="31" t="str">
        <f t="shared" si="8"/>
        <v>Max</v>
      </c>
      <c r="N108" s="1" t="str">
        <f t="shared" si="9"/>
        <v/>
      </c>
      <c r="O108" s="1" t="str">
        <f t="shared" si="10"/>
        <v/>
      </c>
    </row>
    <row r="109" spans="1:15" x14ac:dyDescent="0.2">
      <c r="A109" s="7">
        <v>2026</v>
      </c>
      <c r="B109" s="7" t="s">
        <v>0</v>
      </c>
      <c r="C109" s="7" t="s">
        <v>225</v>
      </c>
      <c r="D109" s="7" t="s">
        <v>687</v>
      </c>
      <c r="E109" s="7" t="s">
        <v>687</v>
      </c>
      <c r="F109" s="7" t="s">
        <v>225</v>
      </c>
      <c r="G109" s="7" t="s">
        <v>226</v>
      </c>
      <c r="H109" s="8">
        <f>ROUND(SUMPRODUCT(SUMIF(Final!$G$4:$G$330,CashReserveLevy!D109:F109,Final!$C$4:$C$330)),0)</f>
        <v>6378945</v>
      </c>
      <c r="I109" s="8">
        <f t="shared" si="6"/>
        <v>1275789</v>
      </c>
      <c r="J109" s="8">
        <f>ROUND(SUMPRODUCT(SUMIF(Final!$G$4:$G$330,CashReserveLevy!D109:F109,Final!$E$4:$E$330)),0)</f>
        <v>1767010</v>
      </c>
      <c r="K109" s="8">
        <f t="shared" si="7"/>
        <v>0</v>
      </c>
      <c r="L109" s="8">
        <f>INDEX(ActualCRLevy_SAS!$A$2:$D$326,MATCH(CashReserveLevy!$C109,ActualCRLevy_SAS!$B$2:$B$326,0),4)</f>
        <v>0</v>
      </c>
      <c r="M109" s="31" t="str">
        <f t="shared" si="8"/>
        <v/>
      </c>
      <c r="N109" s="1" t="str">
        <f t="shared" si="9"/>
        <v/>
      </c>
      <c r="O109" s="1" t="str">
        <f t="shared" si="10"/>
        <v/>
      </c>
    </row>
    <row r="110" spans="1:15" x14ac:dyDescent="0.2">
      <c r="A110" s="7">
        <v>2026</v>
      </c>
      <c r="B110" s="7" t="s">
        <v>17</v>
      </c>
      <c r="C110" s="7" t="s">
        <v>227</v>
      </c>
      <c r="D110" s="7" t="s">
        <v>687</v>
      </c>
      <c r="E110" s="7" t="s">
        <v>687</v>
      </c>
      <c r="F110" s="7" t="s">
        <v>227</v>
      </c>
      <c r="G110" s="7" t="s">
        <v>228</v>
      </c>
      <c r="H110" s="8">
        <f>ROUND(SUMPRODUCT(SUMIF(Final!$G$4:$G$330,CashReserveLevy!D110:F110,Final!$C$4:$C$330)),0)</f>
        <v>25181567</v>
      </c>
      <c r="I110" s="8">
        <f t="shared" si="6"/>
        <v>5036313</v>
      </c>
      <c r="J110" s="8">
        <f>ROUND(SUMPRODUCT(SUMIF(Final!$G$4:$G$330,CashReserveLevy!D110:F110,Final!$E$4:$E$330)),0)</f>
        <v>92976</v>
      </c>
      <c r="K110" s="8">
        <f t="shared" si="7"/>
        <v>4943337</v>
      </c>
      <c r="L110" s="8">
        <f>INDEX(ActualCRLevy_SAS!$A$2:$D$326,MATCH(CashReserveLevy!$C110,ActualCRLevy_SAS!$B$2:$B$326,0),4)</f>
        <v>1712381</v>
      </c>
      <c r="M110" s="31" t="str">
        <f t="shared" si="8"/>
        <v/>
      </c>
      <c r="N110" s="1" t="str">
        <f t="shared" si="9"/>
        <v/>
      </c>
      <c r="O110" s="1" t="str">
        <f t="shared" si="10"/>
        <v/>
      </c>
    </row>
    <row r="111" spans="1:15" x14ac:dyDescent="0.2">
      <c r="A111" s="7">
        <v>2026</v>
      </c>
      <c r="B111" s="7" t="s">
        <v>5</v>
      </c>
      <c r="C111" s="7" t="s">
        <v>229</v>
      </c>
      <c r="D111" s="7" t="s">
        <v>687</v>
      </c>
      <c r="E111" s="7" t="s">
        <v>687</v>
      </c>
      <c r="F111" s="7" t="s">
        <v>229</v>
      </c>
      <c r="G111" s="7" t="s">
        <v>230</v>
      </c>
      <c r="H111" s="8">
        <f>ROUND(SUMPRODUCT(SUMIF(Final!$G$4:$G$330,CashReserveLevy!D111:F111,Final!$C$4:$C$330)),0)</f>
        <v>14962079</v>
      </c>
      <c r="I111" s="8">
        <f t="shared" si="6"/>
        <v>2992416</v>
      </c>
      <c r="J111" s="8">
        <f>ROUND(SUMPRODUCT(SUMIF(Final!$G$4:$G$330,CashReserveLevy!D111:F111,Final!$E$4:$E$330)),0)</f>
        <v>4962261</v>
      </c>
      <c r="K111" s="8">
        <f t="shared" si="7"/>
        <v>0</v>
      </c>
      <c r="L111" s="8">
        <f>INDEX(ActualCRLevy_SAS!$A$2:$D$326,MATCH(CashReserveLevy!$C111,ActualCRLevy_SAS!$B$2:$B$326,0),4)</f>
        <v>0</v>
      </c>
      <c r="M111" s="31" t="str">
        <f t="shared" si="8"/>
        <v/>
      </c>
      <c r="N111" s="1" t="str">
        <f t="shared" si="9"/>
        <v/>
      </c>
      <c r="O111" s="1" t="str">
        <f t="shared" si="10"/>
        <v/>
      </c>
    </row>
    <row r="112" spans="1:15" x14ac:dyDescent="0.2">
      <c r="A112" s="7">
        <v>2026</v>
      </c>
      <c r="B112" s="7" t="s">
        <v>14</v>
      </c>
      <c r="C112" s="7" t="s">
        <v>231</v>
      </c>
      <c r="D112" s="7" t="s">
        <v>687</v>
      </c>
      <c r="E112" s="7" t="s">
        <v>687</v>
      </c>
      <c r="F112" s="7" t="s">
        <v>231</v>
      </c>
      <c r="G112" s="7" t="s">
        <v>232</v>
      </c>
      <c r="H112" s="8">
        <f>ROUND(SUMPRODUCT(SUMIF(Final!$G$4:$G$330,CashReserveLevy!D112:F112,Final!$C$4:$C$330)),0)</f>
        <v>49509701</v>
      </c>
      <c r="I112" s="8">
        <f t="shared" si="6"/>
        <v>9901940</v>
      </c>
      <c r="J112" s="8">
        <f>ROUND(SUMPRODUCT(SUMIF(Final!$G$4:$G$330,CashReserveLevy!D112:F112,Final!$E$4:$E$330)),0)</f>
        <v>11535560</v>
      </c>
      <c r="K112" s="8">
        <f t="shared" si="7"/>
        <v>0</v>
      </c>
      <c r="L112" s="8">
        <f>INDEX(ActualCRLevy_SAS!$A$2:$D$326,MATCH(CashReserveLevy!$C112,ActualCRLevy_SAS!$B$2:$B$326,0),4)</f>
        <v>0</v>
      </c>
      <c r="M112" s="31" t="str">
        <f t="shared" si="8"/>
        <v/>
      </c>
      <c r="N112" s="1" t="str">
        <f t="shared" si="9"/>
        <v/>
      </c>
      <c r="O112" s="1" t="str">
        <f t="shared" si="10"/>
        <v/>
      </c>
    </row>
    <row r="113" spans="1:15" x14ac:dyDescent="0.2">
      <c r="A113" s="7">
        <v>2026</v>
      </c>
      <c r="B113" s="7" t="s">
        <v>17</v>
      </c>
      <c r="C113" s="7" t="s">
        <v>233</v>
      </c>
      <c r="D113" s="7" t="s">
        <v>687</v>
      </c>
      <c r="E113" s="7" t="s">
        <v>687</v>
      </c>
      <c r="F113" s="7" t="s">
        <v>233</v>
      </c>
      <c r="G113" s="7" t="s">
        <v>234</v>
      </c>
      <c r="H113" s="8">
        <f>ROUND(SUMPRODUCT(SUMIF(Final!$G$4:$G$330,CashReserveLevy!D113:F113,Final!$C$4:$C$330)),0)</f>
        <v>29966078</v>
      </c>
      <c r="I113" s="8">
        <f t="shared" si="6"/>
        <v>5993216</v>
      </c>
      <c r="J113" s="8">
        <f>ROUND(SUMPRODUCT(SUMIF(Final!$G$4:$G$330,CashReserveLevy!D113:F113,Final!$E$4:$E$330)),0)</f>
        <v>5460927</v>
      </c>
      <c r="K113" s="8">
        <f t="shared" si="7"/>
        <v>532289</v>
      </c>
      <c r="L113" s="8">
        <f>INDEX(ActualCRLevy_SAS!$A$2:$D$326,MATCH(CashReserveLevy!$C113,ActualCRLevy_SAS!$B$2:$B$326,0),4)</f>
        <v>532289</v>
      </c>
      <c r="M113" s="31" t="str">
        <f t="shared" si="8"/>
        <v>Max</v>
      </c>
      <c r="N113" s="1" t="str">
        <f t="shared" si="9"/>
        <v/>
      </c>
      <c r="O113" s="1" t="str">
        <f t="shared" si="10"/>
        <v/>
      </c>
    </row>
    <row r="114" spans="1:15" x14ac:dyDescent="0.2">
      <c r="A114" s="7">
        <v>2026</v>
      </c>
      <c r="B114" s="7" t="s">
        <v>8</v>
      </c>
      <c r="C114" s="7" t="s">
        <v>235</v>
      </c>
      <c r="D114" s="7" t="s">
        <v>687</v>
      </c>
      <c r="E114" s="7" t="s">
        <v>687</v>
      </c>
      <c r="F114" s="7" t="s">
        <v>235</v>
      </c>
      <c r="G114" s="7" t="s">
        <v>236</v>
      </c>
      <c r="H114" s="8">
        <f>ROUND(SUMPRODUCT(SUMIF(Final!$G$4:$G$330,CashReserveLevy!D114:F114,Final!$C$4:$C$330)),0)</f>
        <v>6892070</v>
      </c>
      <c r="I114" s="8">
        <f t="shared" si="6"/>
        <v>1378414</v>
      </c>
      <c r="J114" s="8">
        <f>ROUND(SUMPRODUCT(SUMIF(Final!$G$4:$G$330,CashReserveLevy!D114:F114,Final!$E$4:$E$330)),0)</f>
        <v>687645</v>
      </c>
      <c r="K114" s="8">
        <f t="shared" si="7"/>
        <v>690769</v>
      </c>
      <c r="L114" s="8">
        <f>INDEX(ActualCRLevy_SAS!$A$2:$D$326,MATCH(CashReserveLevy!$C114,ActualCRLevy_SAS!$B$2:$B$326,0),4)</f>
        <v>400000</v>
      </c>
      <c r="M114" s="31" t="str">
        <f t="shared" si="8"/>
        <v/>
      </c>
      <c r="N114" s="1" t="str">
        <f t="shared" si="9"/>
        <v/>
      </c>
      <c r="O114" s="1" t="str">
        <f t="shared" si="10"/>
        <v/>
      </c>
    </row>
    <row r="115" spans="1:15" x14ac:dyDescent="0.2">
      <c r="A115" s="7">
        <v>2026</v>
      </c>
      <c r="B115" s="7" t="s">
        <v>11</v>
      </c>
      <c r="C115" s="7" t="s">
        <v>237</v>
      </c>
      <c r="D115" s="7" t="s">
        <v>687</v>
      </c>
      <c r="E115" s="7" t="s">
        <v>687</v>
      </c>
      <c r="F115" s="7" t="s">
        <v>237</v>
      </c>
      <c r="G115" s="7" t="s">
        <v>238</v>
      </c>
      <c r="H115" s="8">
        <f>ROUND(SUMPRODUCT(SUMIF(Final!$G$4:$G$330,CashReserveLevy!D115:F115,Final!$C$4:$C$330)),0)</f>
        <v>7070349</v>
      </c>
      <c r="I115" s="8">
        <f t="shared" si="6"/>
        <v>1414070</v>
      </c>
      <c r="J115" s="8">
        <f>ROUND(SUMPRODUCT(SUMIF(Final!$G$4:$G$330,CashReserveLevy!D115:F115,Final!$E$4:$E$330)),0)</f>
        <v>4421336</v>
      </c>
      <c r="K115" s="8">
        <f t="shared" si="7"/>
        <v>0</v>
      </c>
      <c r="L115" s="8">
        <f>INDEX(ActualCRLevy_SAS!$A$2:$D$326,MATCH(CashReserveLevy!$C115,ActualCRLevy_SAS!$B$2:$B$326,0),4)</f>
        <v>0</v>
      </c>
      <c r="M115" s="31" t="str">
        <f t="shared" si="8"/>
        <v/>
      </c>
      <c r="N115" s="1" t="str">
        <f t="shared" si="9"/>
        <v/>
      </c>
      <c r="O115" s="1" t="str">
        <f t="shared" si="10"/>
        <v/>
      </c>
    </row>
    <row r="116" spans="1:15" x14ac:dyDescent="0.2">
      <c r="A116" s="7">
        <v>2026</v>
      </c>
      <c r="B116" s="7" t="s">
        <v>5</v>
      </c>
      <c r="C116" s="7" t="s">
        <v>239</v>
      </c>
      <c r="D116" s="7" t="s">
        <v>687</v>
      </c>
      <c r="E116" s="7" t="s">
        <v>687</v>
      </c>
      <c r="F116" s="7" t="s">
        <v>239</v>
      </c>
      <c r="G116" s="7" t="s">
        <v>240</v>
      </c>
      <c r="H116" s="8">
        <f>ROUND(SUMPRODUCT(SUMIF(Final!$G$4:$G$330,CashReserveLevy!D116:F116,Final!$C$4:$C$330)),0)</f>
        <v>12445837</v>
      </c>
      <c r="I116" s="8">
        <f t="shared" si="6"/>
        <v>2489167</v>
      </c>
      <c r="J116" s="8">
        <f>ROUND(SUMPRODUCT(SUMIF(Final!$G$4:$G$330,CashReserveLevy!D116:F116,Final!$E$4:$E$330)),0)</f>
        <v>3895942</v>
      </c>
      <c r="K116" s="8">
        <f t="shared" si="7"/>
        <v>0</v>
      </c>
      <c r="L116" s="8">
        <f>INDEX(ActualCRLevy_SAS!$A$2:$D$326,MATCH(CashReserveLevy!$C116,ActualCRLevy_SAS!$B$2:$B$326,0),4)</f>
        <v>0</v>
      </c>
      <c r="M116" s="31" t="str">
        <f t="shared" si="8"/>
        <v/>
      </c>
      <c r="N116" s="1" t="str">
        <f t="shared" si="9"/>
        <v/>
      </c>
      <c r="O116" s="1" t="str">
        <f t="shared" si="10"/>
        <v/>
      </c>
    </row>
    <row r="117" spans="1:15" x14ac:dyDescent="0.2">
      <c r="A117" s="7">
        <v>2026</v>
      </c>
      <c r="B117" s="7" t="s">
        <v>11</v>
      </c>
      <c r="C117" s="7" t="s">
        <v>241</v>
      </c>
      <c r="D117" s="7" t="s">
        <v>687</v>
      </c>
      <c r="E117" s="7" t="s">
        <v>687</v>
      </c>
      <c r="F117" s="7" t="s">
        <v>241</v>
      </c>
      <c r="G117" s="7" t="s">
        <v>242</v>
      </c>
      <c r="H117" s="8">
        <f>ROUND(SUMPRODUCT(SUMIF(Final!$G$4:$G$330,CashReserveLevy!D117:F117,Final!$C$4:$C$330)),0)</f>
        <v>6030718</v>
      </c>
      <c r="I117" s="8">
        <f t="shared" si="6"/>
        <v>1206144</v>
      </c>
      <c r="J117" s="8">
        <f>ROUND(SUMPRODUCT(SUMIF(Final!$G$4:$G$330,CashReserveLevy!D117:F117,Final!$E$4:$E$330)),0)</f>
        <v>3155529</v>
      </c>
      <c r="K117" s="8">
        <f t="shared" si="7"/>
        <v>0</v>
      </c>
      <c r="L117" s="8">
        <f>INDEX(ActualCRLevy_SAS!$A$2:$D$326,MATCH(CashReserveLevy!$C117,ActualCRLevy_SAS!$B$2:$B$326,0),4)</f>
        <v>0</v>
      </c>
      <c r="M117" s="31" t="str">
        <f t="shared" si="8"/>
        <v/>
      </c>
      <c r="N117" s="1" t="str">
        <f t="shared" si="9"/>
        <v/>
      </c>
      <c r="O117" s="1" t="str">
        <f t="shared" si="10"/>
        <v/>
      </c>
    </row>
    <row r="118" spans="1:15" x14ac:dyDescent="0.2">
      <c r="A118" s="7">
        <v>2026</v>
      </c>
      <c r="B118" s="7" t="s">
        <v>0</v>
      </c>
      <c r="C118" s="7" t="s">
        <v>243</v>
      </c>
      <c r="D118" s="7" t="s">
        <v>687</v>
      </c>
      <c r="E118" s="7" t="s">
        <v>687</v>
      </c>
      <c r="F118" s="7" t="s">
        <v>243</v>
      </c>
      <c r="G118" s="7" t="s">
        <v>244</v>
      </c>
      <c r="H118" s="8">
        <f>ROUND(SUMPRODUCT(SUMIF(Final!$G$4:$G$330,CashReserveLevy!D118:F118,Final!$C$4:$C$330)),0)</f>
        <v>21695126</v>
      </c>
      <c r="I118" s="8">
        <f t="shared" si="6"/>
        <v>4339025</v>
      </c>
      <c r="J118" s="8">
        <f>ROUND(SUMPRODUCT(SUMIF(Final!$G$4:$G$330,CashReserveLevy!D118:F118,Final!$E$4:$E$330)),0)</f>
        <v>1033367</v>
      </c>
      <c r="K118" s="8">
        <f t="shared" si="7"/>
        <v>3305658</v>
      </c>
      <c r="L118" s="8">
        <f>INDEX(ActualCRLevy_SAS!$A$2:$D$326,MATCH(CashReserveLevy!$C118,ActualCRLevy_SAS!$B$2:$B$326,0),4)</f>
        <v>2425000</v>
      </c>
      <c r="M118" s="31" t="str">
        <f t="shared" si="8"/>
        <v/>
      </c>
      <c r="N118" s="1" t="str">
        <f t="shared" si="9"/>
        <v/>
      </c>
      <c r="O118" s="1" t="str">
        <f t="shared" si="10"/>
        <v/>
      </c>
    </row>
    <row r="119" spans="1:15" x14ac:dyDescent="0.2">
      <c r="A119" s="7">
        <v>2026</v>
      </c>
      <c r="B119" s="7" t="s">
        <v>14</v>
      </c>
      <c r="C119" s="7" t="s">
        <v>245</v>
      </c>
      <c r="D119" s="7" t="s">
        <v>687</v>
      </c>
      <c r="E119" s="7" t="s">
        <v>687</v>
      </c>
      <c r="F119" s="7" t="s">
        <v>245</v>
      </c>
      <c r="G119" s="7" t="s">
        <v>246</v>
      </c>
      <c r="H119" s="8">
        <f>ROUND(SUMPRODUCT(SUMIF(Final!$G$4:$G$330,CashReserveLevy!D119:F119,Final!$C$4:$C$330)),0)</f>
        <v>2551594</v>
      </c>
      <c r="I119" s="8">
        <f t="shared" si="6"/>
        <v>510319</v>
      </c>
      <c r="J119" s="8">
        <f>ROUND(SUMPRODUCT(SUMIF(Final!$G$4:$G$330,CashReserveLevy!D119:F119,Final!$E$4:$E$330)),0)</f>
        <v>861061</v>
      </c>
      <c r="K119" s="8">
        <f t="shared" si="7"/>
        <v>0</v>
      </c>
      <c r="L119" s="8">
        <f>INDEX(ActualCRLevy_SAS!$A$2:$D$326,MATCH(CashReserveLevy!$C119,ActualCRLevy_SAS!$B$2:$B$326,0),4)</f>
        <v>0</v>
      </c>
      <c r="M119" s="31" t="str">
        <f t="shared" si="8"/>
        <v/>
      </c>
      <c r="N119" s="1" t="str">
        <f t="shared" si="9"/>
        <v/>
      </c>
      <c r="O119" s="1" t="str">
        <f t="shared" si="10"/>
        <v/>
      </c>
    </row>
    <row r="120" spans="1:15" x14ac:dyDescent="0.2">
      <c r="A120" s="7">
        <v>2026</v>
      </c>
      <c r="B120" s="7" t="s">
        <v>5</v>
      </c>
      <c r="C120" s="7" t="s">
        <v>247</v>
      </c>
      <c r="D120" s="7" t="s">
        <v>687</v>
      </c>
      <c r="E120" s="7" t="s">
        <v>687</v>
      </c>
      <c r="F120" s="7" t="s">
        <v>247</v>
      </c>
      <c r="G120" s="7" t="s">
        <v>248</v>
      </c>
      <c r="H120" s="8">
        <f>ROUND(SUMPRODUCT(SUMIF(Final!$G$4:$G$330,CashReserveLevy!D120:F120,Final!$C$4:$C$330)),0)</f>
        <v>8670309</v>
      </c>
      <c r="I120" s="8">
        <f t="shared" si="6"/>
        <v>1734062</v>
      </c>
      <c r="J120" s="8">
        <f>ROUND(SUMPRODUCT(SUMIF(Final!$G$4:$G$330,CashReserveLevy!D120:F120,Final!$E$4:$E$330)),0)</f>
        <v>1170422</v>
      </c>
      <c r="K120" s="8">
        <f t="shared" si="7"/>
        <v>563640</v>
      </c>
      <c r="L120" s="8">
        <f>INDEX(ActualCRLevy_SAS!$A$2:$D$326,MATCH(CashReserveLevy!$C120,ActualCRLevy_SAS!$B$2:$B$326,0),4)</f>
        <v>100000</v>
      </c>
      <c r="M120" s="31" t="str">
        <f t="shared" si="8"/>
        <v/>
      </c>
      <c r="N120" s="1" t="str">
        <f t="shared" si="9"/>
        <v/>
      </c>
      <c r="O120" s="1" t="str">
        <f t="shared" si="10"/>
        <v/>
      </c>
    </row>
    <row r="121" spans="1:15" x14ac:dyDescent="0.2">
      <c r="A121" s="7">
        <v>2026</v>
      </c>
      <c r="B121" s="7" t="s">
        <v>8</v>
      </c>
      <c r="C121" s="7" t="s">
        <v>249</v>
      </c>
      <c r="D121" s="7" t="s">
        <v>687</v>
      </c>
      <c r="E121" s="7" t="s">
        <v>687</v>
      </c>
      <c r="F121" s="7" t="s">
        <v>249</v>
      </c>
      <c r="G121" s="7" t="s">
        <v>250</v>
      </c>
      <c r="H121" s="8">
        <f>ROUND(SUMPRODUCT(SUMIF(Final!$G$4:$G$330,CashReserveLevy!D121:F121,Final!$C$4:$C$330)),0)</f>
        <v>26357612</v>
      </c>
      <c r="I121" s="8">
        <f t="shared" si="6"/>
        <v>5271522</v>
      </c>
      <c r="J121" s="8">
        <f>ROUND(SUMPRODUCT(SUMIF(Final!$G$4:$G$330,CashReserveLevy!D121:F121,Final!$E$4:$E$330)),0)</f>
        <v>2284722</v>
      </c>
      <c r="K121" s="8">
        <f t="shared" si="7"/>
        <v>2986800</v>
      </c>
      <c r="L121" s="8">
        <f>INDEX(ActualCRLevy_SAS!$A$2:$D$326,MATCH(CashReserveLevy!$C121,ActualCRLevy_SAS!$B$2:$B$326,0),4)</f>
        <v>1100000</v>
      </c>
      <c r="M121" s="31" t="str">
        <f t="shared" si="8"/>
        <v/>
      </c>
      <c r="N121" s="1" t="str">
        <f t="shared" si="9"/>
        <v/>
      </c>
      <c r="O121" s="1" t="str">
        <f t="shared" si="10"/>
        <v/>
      </c>
    </row>
    <row r="122" spans="1:15" x14ac:dyDescent="0.2">
      <c r="A122" s="7">
        <v>2026</v>
      </c>
      <c r="B122" s="7" t="s">
        <v>0</v>
      </c>
      <c r="C122" s="7" t="s">
        <v>251</v>
      </c>
      <c r="D122" s="7" t="s">
        <v>687</v>
      </c>
      <c r="E122" s="7" t="s">
        <v>687</v>
      </c>
      <c r="F122" s="7" t="s">
        <v>251</v>
      </c>
      <c r="G122" s="7" t="s">
        <v>252</v>
      </c>
      <c r="H122" s="8">
        <f>ROUND(SUMPRODUCT(SUMIF(Final!$G$4:$G$330,CashReserveLevy!D122:F122,Final!$C$4:$C$330)),0)</f>
        <v>5593803</v>
      </c>
      <c r="I122" s="8">
        <f t="shared" si="6"/>
        <v>1118761</v>
      </c>
      <c r="J122" s="8">
        <f>ROUND(SUMPRODUCT(SUMIF(Final!$G$4:$G$330,CashReserveLevy!D122:F122,Final!$E$4:$E$330)),0)</f>
        <v>71365</v>
      </c>
      <c r="K122" s="8">
        <f t="shared" si="7"/>
        <v>1047396</v>
      </c>
      <c r="L122" s="8">
        <f>INDEX(ActualCRLevy_SAS!$A$2:$D$326,MATCH(CashReserveLevy!$C122,ActualCRLevy_SAS!$B$2:$B$326,0),4)</f>
        <v>250000</v>
      </c>
      <c r="M122" s="31" t="str">
        <f t="shared" si="8"/>
        <v/>
      </c>
      <c r="N122" s="1" t="str">
        <f t="shared" si="9"/>
        <v/>
      </c>
      <c r="O122" s="1" t="str">
        <f t="shared" si="10"/>
        <v/>
      </c>
    </row>
    <row r="123" spans="1:15" x14ac:dyDescent="0.2">
      <c r="A123" s="7">
        <v>2026</v>
      </c>
      <c r="B123" s="7" t="s">
        <v>5</v>
      </c>
      <c r="C123" s="7" t="s">
        <v>253</v>
      </c>
      <c r="D123" s="7" t="s">
        <v>687</v>
      </c>
      <c r="E123" s="7" t="s">
        <v>687</v>
      </c>
      <c r="F123" s="7" t="s">
        <v>253</v>
      </c>
      <c r="G123" s="7" t="s">
        <v>254</v>
      </c>
      <c r="H123" s="8">
        <f>ROUND(SUMPRODUCT(SUMIF(Final!$G$4:$G$330,CashReserveLevy!D123:F123,Final!$C$4:$C$330)),0)</f>
        <v>6561949</v>
      </c>
      <c r="I123" s="8">
        <f t="shared" si="6"/>
        <v>1312390</v>
      </c>
      <c r="J123" s="8">
        <f>ROUND(SUMPRODUCT(SUMIF(Final!$G$4:$G$330,CashReserveLevy!D123:F123,Final!$E$4:$E$330)),0)</f>
        <v>331639</v>
      </c>
      <c r="K123" s="8">
        <f t="shared" si="7"/>
        <v>980751</v>
      </c>
      <c r="L123" s="8">
        <f>INDEX(ActualCRLevy_SAS!$A$2:$D$326,MATCH(CashReserveLevy!$C123,ActualCRLevy_SAS!$B$2:$B$326,0),4)</f>
        <v>329018</v>
      </c>
      <c r="M123" s="31" t="str">
        <f t="shared" si="8"/>
        <v/>
      </c>
      <c r="N123" s="1" t="str">
        <f t="shared" si="9"/>
        <v/>
      </c>
      <c r="O123" s="1" t="str">
        <f t="shared" si="10"/>
        <v/>
      </c>
    </row>
    <row r="124" spans="1:15" x14ac:dyDescent="0.2">
      <c r="A124" s="7">
        <v>2026</v>
      </c>
      <c r="B124" s="7" t="s">
        <v>14</v>
      </c>
      <c r="C124" s="7" t="s">
        <v>255</v>
      </c>
      <c r="D124" s="7" t="s">
        <v>687</v>
      </c>
      <c r="E124" s="7" t="s">
        <v>687</v>
      </c>
      <c r="F124" s="7" t="s">
        <v>255</v>
      </c>
      <c r="G124" s="7" t="s">
        <v>256</v>
      </c>
      <c r="H124" s="8">
        <f>ROUND(SUMPRODUCT(SUMIF(Final!$G$4:$G$330,CashReserveLevy!D124:F124,Final!$C$4:$C$330)),0)</f>
        <v>6125801</v>
      </c>
      <c r="I124" s="8">
        <f t="shared" si="6"/>
        <v>1225160</v>
      </c>
      <c r="J124" s="8">
        <f>ROUND(SUMPRODUCT(SUMIF(Final!$G$4:$G$330,CashReserveLevy!D124:F124,Final!$E$4:$E$330)),0)</f>
        <v>-940145</v>
      </c>
      <c r="K124" s="8">
        <f t="shared" si="7"/>
        <v>2165305</v>
      </c>
      <c r="L124" s="8">
        <f>INDEX(ActualCRLevy_SAS!$A$2:$D$326,MATCH(CashReserveLevy!$C124,ActualCRLevy_SAS!$B$2:$B$326,0),4)</f>
        <v>609000</v>
      </c>
      <c r="M124" s="31" t="str">
        <f t="shared" si="8"/>
        <v/>
      </c>
      <c r="N124" s="1" t="str">
        <f t="shared" si="9"/>
        <v/>
      </c>
      <c r="O124" s="1" t="str">
        <f t="shared" si="10"/>
        <v/>
      </c>
    </row>
    <row r="125" spans="1:15" x14ac:dyDescent="0.2">
      <c r="A125" s="7">
        <v>2026</v>
      </c>
      <c r="B125" s="7" t="s">
        <v>14</v>
      </c>
      <c r="C125" s="7" t="s">
        <v>257</v>
      </c>
      <c r="D125" s="7" t="s">
        <v>687</v>
      </c>
      <c r="E125" s="7" t="s">
        <v>687</v>
      </c>
      <c r="F125" s="7" t="s">
        <v>257</v>
      </c>
      <c r="G125" s="7" t="s">
        <v>258</v>
      </c>
      <c r="H125" s="8">
        <f>ROUND(SUMPRODUCT(SUMIF(Final!$G$4:$G$330,CashReserveLevy!D125:F125,Final!$C$4:$C$330)),0)</f>
        <v>16954282</v>
      </c>
      <c r="I125" s="8">
        <f t="shared" si="6"/>
        <v>3390856</v>
      </c>
      <c r="J125" s="8">
        <f>ROUND(SUMPRODUCT(SUMIF(Final!$G$4:$G$330,CashReserveLevy!D125:F125,Final!$E$4:$E$330)),0)</f>
        <v>2624047</v>
      </c>
      <c r="K125" s="8">
        <f t="shared" si="7"/>
        <v>766809</v>
      </c>
      <c r="L125" s="8">
        <f>INDEX(ActualCRLevy_SAS!$A$2:$D$326,MATCH(CashReserveLevy!$C125,ActualCRLevy_SAS!$B$2:$B$326,0),4)</f>
        <v>750000</v>
      </c>
      <c r="M125" s="31" t="str">
        <f t="shared" si="8"/>
        <v/>
      </c>
      <c r="N125" s="1" t="str">
        <f t="shared" si="9"/>
        <v/>
      </c>
      <c r="O125" s="1" t="str">
        <f t="shared" si="10"/>
        <v/>
      </c>
    </row>
    <row r="126" spans="1:15" x14ac:dyDescent="0.2">
      <c r="A126" s="7">
        <v>2026</v>
      </c>
      <c r="B126" s="7" t="s">
        <v>5</v>
      </c>
      <c r="C126" s="7" t="s">
        <v>259</v>
      </c>
      <c r="D126" s="7" t="s">
        <v>687</v>
      </c>
      <c r="E126" s="7" t="s">
        <v>687</v>
      </c>
      <c r="F126" s="7" t="s">
        <v>259</v>
      </c>
      <c r="G126" s="7" t="s">
        <v>260</v>
      </c>
      <c r="H126" s="8">
        <f>ROUND(SUMPRODUCT(SUMIF(Final!$G$4:$G$330,CashReserveLevy!D126:F126,Final!$C$4:$C$330)),0)</f>
        <v>20930568</v>
      </c>
      <c r="I126" s="8">
        <f t="shared" si="6"/>
        <v>4186114</v>
      </c>
      <c r="J126" s="8">
        <f>ROUND(SUMPRODUCT(SUMIF(Final!$G$4:$G$330,CashReserveLevy!D126:F126,Final!$E$4:$E$330)),0)</f>
        <v>3503887</v>
      </c>
      <c r="K126" s="8">
        <f t="shared" si="7"/>
        <v>682227</v>
      </c>
      <c r="L126" s="8">
        <f>INDEX(ActualCRLevy_SAS!$A$2:$D$326,MATCH(CashReserveLevy!$C126,ActualCRLevy_SAS!$B$2:$B$326,0),4)</f>
        <v>682227</v>
      </c>
      <c r="M126" s="31" t="str">
        <f t="shared" si="8"/>
        <v>Max</v>
      </c>
      <c r="N126" s="1" t="str">
        <f t="shared" si="9"/>
        <v/>
      </c>
      <c r="O126" s="1" t="str">
        <f t="shared" si="10"/>
        <v/>
      </c>
    </row>
    <row r="127" spans="1:15" x14ac:dyDescent="0.2">
      <c r="A127" s="7">
        <v>2026</v>
      </c>
      <c r="B127" s="7" t="s">
        <v>8</v>
      </c>
      <c r="C127" s="7" t="s">
        <v>261</v>
      </c>
      <c r="D127" s="7" t="s">
        <v>687</v>
      </c>
      <c r="E127" s="7" t="s">
        <v>687</v>
      </c>
      <c r="F127" s="7" t="s">
        <v>261</v>
      </c>
      <c r="G127" s="7" t="s">
        <v>262</v>
      </c>
      <c r="H127" s="8">
        <f>ROUND(SUMPRODUCT(SUMIF(Final!$G$4:$G$330,CashReserveLevy!D127:F127,Final!$C$4:$C$330)),0)</f>
        <v>7188171</v>
      </c>
      <c r="I127" s="8">
        <f t="shared" si="6"/>
        <v>1437634</v>
      </c>
      <c r="J127" s="8">
        <f>ROUND(SUMPRODUCT(SUMIF(Final!$G$4:$G$330,CashReserveLevy!D127:F127,Final!$E$4:$E$330)),0)</f>
        <v>1232087</v>
      </c>
      <c r="K127" s="8">
        <f t="shared" si="7"/>
        <v>205547</v>
      </c>
      <c r="L127" s="8">
        <f>INDEX(ActualCRLevy_SAS!$A$2:$D$326,MATCH(CashReserveLevy!$C127,ActualCRLevy_SAS!$B$2:$B$326,0),4)</f>
        <v>205547</v>
      </c>
      <c r="M127" s="31" t="str">
        <f t="shared" si="8"/>
        <v>Max</v>
      </c>
      <c r="N127" s="1" t="str">
        <f t="shared" si="9"/>
        <v/>
      </c>
      <c r="O127" s="1" t="str">
        <f t="shared" si="10"/>
        <v/>
      </c>
    </row>
    <row r="128" spans="1:15" x14ac:dyDescent="0.2">
      <c r="A128" s="7">
        <v>2026</v>
      </c>
      <c r="B128" s="7" t="s">
        <v>5</v>
      </c>
      <c r="C128" s="7" t="s">
        <v>263</v>
      </c>
      <c r="D128" s="7" t="s">
        <v>687</v>
      </c>
      <c r="E128" s="7" t="s">
        <v>687</v>
      </c>
      <c r="F128" s="7" t="s">
        <v>263</v>
      </c>
      <c r="G128" s="7" t="s">
        <v>264</v>
      </c>
      <c r="H128" s="8">
        <f>ROUND(SUMPRODUCT(SUMIF(Final!$G$4:$G$330,CashReserveLevy!D128:F128,Final!$C$4:$C$330)),0)</f>
        <v>9504631</v>
      </c>
      <c r="I128" s="8">
        <f t="shared" si="6"/>
        <v>1900926</v>
      </c>
      <c r="J128" s="8">
        <f>ROUND(SUMPRODUCT(SUMIF(Final!$G$4:$G$330,CashReserveLevy!D128:F128,Final!$E$4:$E$330)),0)</f>
        <v>2078233</v>
      </c>
      <c r="K128" s="8">
        <f t="shared" si="7"/>
        <v>0</v>
      </c>
      <c r="L128" s="8">
        <f>INDEX(ActualCRLevy_SAS!$A$2:$D$326,MATCH(CashReserveLevy!$C128,ActualCRLevy_SAS!$B$2:$B$326,0),4)</f>
        <v>0</v>
      </c>
      <c r="M128" s="31" t="str">
        <f t="shared" si="8"/>
        <v/>
      </c>
      <c r="N128" s="1" t="str">
        <f t="shared" si="9"/>
        <v/>
      </c>
      <c r="O128" s="1" t="str">
        <f t="shared" si="10"/>
        <v/>
      </c>
    </row>
    <row r="129" spans="1:15" x14ac:dyDescent="0.2">
      <c r="A129" s="7">
        <v>2026</v>
      </c>
      <c r="B129" s="7" t="s">
        <v>0</v>
      </c>
      <c r="C129" s="7" t="s">
        <v>265</v>
      </c>
      <c r="D129" s="7" t="s">
        <v>687</v>
      </c>
      <c r="E129" s="7" t="s">
        <v>687</v>
      </c>
      <c r="F129" s="7" t="s">
        <v>265</v>
      </c>
      <c r="G129" s="7" t="s">
        <v>266</v>
      </c>
      <c r="H129" s="8">
        <f>ROUND(SUMPRODUCT(SUMIF(Final!$G$4:$G$330,CashReserveLevy!D129:F129,Final!$C$4:$C$330)),0)</f>
        <v>7280464</v>
      </c>
      <c r="I129" s="8">
        <f t="shared" si="6"/>
        <v>1456093</v>
      </c>
      <c r="J129" s="8">
        <f>ROUND(SUMPRODUCT(SUMIF(Final!$G$4:$G$330,CashReserveLevy!D129:F129,Final!$E$4:$E$330)),0)</f>
        <v>310976</v>
      </c>
      <c r="K129" s="8">
        <f t="shared" si="7"/>
        <v>1145117</v>
      </c>
      <c r="L129" s="8">
        <f>INDEX(ActualCRLevy_SAS!$A$2:$D$326,MATCH(CashReserveLevy!$C129,ActualCRLevy_SAS!$B$2:$B$326,0),4)</f>
        <v>450000</v>
      </c>
      <c r="M129" s="31" t="str">
        <f t="shared" si="8"/>
        <v/>
      </c>
      <c r="N129" s="1" t="str">
        <f t="shared" si="9"/>
        <v/>
      </c>
      <c r="O129" s="1" t="str">
        <f t="shared" si="10"/>
        <v/>
      </c>
    </row>
    <row r="130" spans="1:15" x14ac:dyDescent="0.2">
      <c r="A130" s="7">
        <v>2026</v>
      </c>
      <c r="B130" s="7" t="s">
        <v>8</v>
      </c>
      <c r="C130" s="7" t="s">
        <v>267</v>
      </c>
      <c r="D130" s="7" t="s">
        <v>687</v>
      </c>
      <c r="E130" s="7" t="s">
        <v>687</v>
      </c>
      <c r="F130" s="7" t="s">
        <v>267</v>
      </c>
      <c r="G130" s="7" t="s">
        <v>268</v>
      </c>
      <c r="H130" s="8">
        <f>ROUND(SUMPRODUCT(SUMIF(Final!$G$4:$G$330,CashReserveLevy!D130:F130,Final!$C$4:$C$330)),0)</f>
        <v>4603727</v>
      </c>
      <c r="I130" s="8">
        <f t="shared" si="6"/>
        <v>920745</v>
      </c>
      <c r="J130" s="8">
        <f>ROUND(SUMPRODUCT(SUMIF(Final!$G$4:$G$330,CashReserveLevy!D130:F130,Final!$E$4:$E$330)),0)</f>
        <v>638538</v>
      </c>
      <c r="K130" s="8">
        <f t="shared" si="7"/>
        <v>282207</v>
      </c>
      <c r="L130" s="8">
        <f>INDEX(ActualCRLevy_SAS!$A$2:$D$326,MATCH(CashReserveLevy!$C130,ActualCRLevy_SAS!$B$2:$B$326,0),4)</f>
        <v>215000</v>
      </c>
      <c r="M130" s="31" t="str">
        <f t="shared" si="8"/>
        <v/>
      </c>
      <c r="N130" s="1" t="str">
        <f t="shared" si="9"/>
        <v/>
      </c>
      <c r="O130" s="1" t="str">
        <f t="shared" si="10"/>
        <v/>
      </c>
    </row>
    <row r="131" spans="1:15" x14ac:dyDescent="0.2">
      <c r="A131" s="7">
        <v>2026</v>
      </c>
      <c r="B131" s="7" t="s">
        <v>5</v>
      </c>
      <c r="C131" s="7" t="s">
        <v>269</v>
      </c>
      <c r="D131" s="7" t="s">
        <v>687</v>
      </c>
      <c r="E131" s="7" t="s">
        <v>687</v>
      </c>
      <c r="F131" s="7" t="s">
        <v>269</v>
      </c>
      <c r="G131" s="7" t="s">
        <v>270</v>
      </c>
      <c r="H131" s="8">
        <f>ROUND(SUMPRODUCT(SUMIF(Final!$G$4:$G$330,CashReserveLevy!D131:F131,Final!$C$4:$C$330)),0)</f>
        <v>15658600</v>
      </c>
      <c r="I131" s="8">
        <f t="shared" si="6"/>
        <v>3131720</v>
      </c>
      <c r="J131" s="8">
        <f>ROUND(SUMPRODUCT(SUMIF(Final!$G$4:$G$330,CashReserveLevy!D131:F131,Final!$E$4:$E$330)),0)</f>
        <v>5478964</v>
      </c>
      <c r="K131" s="8">
        <f t="shared" si="7"/>
        <v>0</v>
      </c>
      <c r="L131" s="8">
        <f>INDEX(ActualCRLevy_SAS!$A$2:$D$326,MATCH(CashReserveLevy!$C131,ActualCRLevy_SAS!$B$2:$B$326,0),4)</f>
        <v>0</v>
      </c>
      <c r="M131" s="31" t="str">
        <f t="shared" si="8"/>
        <v/>
      </c>
      <c r="N131" s="1" t="str">
        <f t="shared" si="9"/>
        <v/>
      </c>
      <c r="O131" s="1" t="str">
        <f t="shared" si="10"/>
        <v/>
      </c>
    </row>
    <row r="132" spans="1:15" x14ac:dyDescent="0.2">
      <c r="A132" s="7">
        <v>2026</v>
      </c>
      <c r="B132" s="7" t="s">
        <v>8</v>
      </c>
      <c r="C132" s="7" t="s">
        <v>271</v>
      </c>
      <c r="D132" s="7" t="s">
        <v>687</v>
      </c>
      <c r="E132" s="7" t="s">
        <v>687</v>
      </c>
      <c r="F132" s="7" t="s">
        <v>271</v>
      </c>
      <c r="G132" s="7" t="s">
        <v>272</v>
      </c>
      <c r="H132" s="8">
        <f>ROUND(SUMPRODUCT(SUMIF(Final!$G$4:$G$330,CashReserveLevy!D132:F132,Final!$C$4:$C$330)),0)</f>
        <v>19310425</v>
      </c>
      <c r="I132" s="8">
        <f t="shared" ref="I132:I195" si="11">ROUND(H132*0.2,0)</f>
        <v>3862085</v>
      </c>
      <c r="J132" s="8">
        <f>ROUND(SUMPRODUCT(SUMIF(Final!$G$4:$G$330,CashReserveLevy!D132:F132,Final!$E$4:$E$330)),0)</f>
        <v>3054880</v>
      </c>
      <c r="K132" s="8">
        <f t="shared" ref="K132:K195" si="12">IF(I132&gt;J132,I132-J132,0)</f>
        <v>807205</v>
      </c>
      <c r="L132" s="8">
        <f>INDEX(ActualCRLevy_SAS!$A$2:$D$326,MATCH(CashReserveLevy!$C132,ActualCRLevy_SAS!$B$2:$B$326,0),4)</f>
        <v>700000</v>
      </c>
      <c r="M132" s="31" t="str">
        <f t="shared" ref="M132:M195" si="13">IF(AND(L132=K132,K132&gt;0),"Max","")</f>
        <v/>
      </c>
      <c r="N132" s="1" t="str">
        <f t="shared" ref="N132:N195" si="14">IF(AND(L132&lt;K132,L132=0),"No Levy but have Capacity","")</f>
        <v/>
      </c>
      <c r="O132" s="1" t="str">
        <f t="shared" si="10"/>
        <v/>
      </c>
    </row>
    <row r="133" spans="1:15" x14ac:dyDescent="0.2">
      <c r="A133" s="7">
        <v>2026</v>
      </c>
      <c r="B133" s="7" t="s">
        <v>14</v>
      </c>
      <c r="C133" s="7" t="s">
        <v>273</v>
      </c>
      <c r="D133" s="7" t="s">
        <v>687</v>
      </c>
      <c r="E133" s="7" t="s">
        <v>687</v>
      </c>
      <c r="F133" s="7" t="s">
        <v>273</v>
      </c>
      <c r="G133" s="7" t="s">
        <v>274</v>
      </c>
      <c r="H133" s="8">
        <f>ROUND(SUMPRODUCT(SUMIF(Final!$G$4:$G$330,CashReserveLevy!D133:F133,Final!$C$4:$C$330)),0)</f>
        <v>4854991</v>
      </c>
      <c r="I133" s="8">
        <f t="shared" si="11"/>
        <v>970998</v>
      </c>
      <c r="J133" s="8">
        <f>ROUND(SUMPRODUCT(SUMIF(Final!$G$4:$G$330,CashReserveLevy!D133:F133,Final!$E$4:$E$330)),0)</f>
        <v>3047991</v>
      </c>
      <c r="K133" s="8">
        <f t="shared" si="12"/>
        <v>0</v>
      </c>
      <c r="L133" s="8">
        <f>INDEX(ActualCRLevy_SAS!$A$2:$D$326,MATCH(CashReserveLevy!$C133,ActualCRLevy_SAS!$B$2:$B$326,0),4)</f>
        <v>0</v>
      </c>
      <c r="M133" s="31" t="str">
        <f t="shared" si="13"/>
        <v/>
      </c>
      <c r="N133" s="1" t="str">
        <f t="shared" si="14"/>
        <v/>
      </c>
      <c r="O133" s="1" t="str">
        <f t="shared" si="10"/>
        <v/>
      </c>
    </row>
    <row r="134" spans="1:15" x14ac:dyDescent="0.2">
      <c r="A134" s="7">
        <v>2026</v>
      </c>
      <c r="B134" s="7" t="s">
        <v>11</v>
      </c>
      <c r="C134" s="7" t="s">
        <v>275</v>
      </c>
      <c r="D134" s="7" t="s">
        <v>687</v>
      </c>
      <c r="E134" s="7" t="s">
        <v>687</v>
      </c>
      <c r="F134" s="7" t="s">
        <v>275</v>
      </c>
      <c r="G134" s="7" t="s">
        <v>276</v>
      </c>
      <c r="H134" s="8">
        <f>ROUND(SUMPRODUCT(SUMIF(Final!$G$4:$G$330,CashReserveLevy!D134:F134,Final!$C$4:$C$330)),0)</f>
        <v>8521007</v>
      </c>
      <c r="I134" s="8">
        <f t="shared" si="11"/>
        <v>1704201</v>
      </c>
      <c r="J134" s="8">
        <f>ROUND(SUMPRODUCT(SUMIF(Final!$G$4:$G$330,CashReserveLevy!D134:F134,Final!$E$4:$E$330)),0)</f>
        <v>2726654</v>
      </c>
      <c r="K134" s="8">
        <f t="shared" si="12"/>
        <v>0</v>
      </c>
      <c r="L134" s="8">
        <f>INDEX(ActualCRLevy_SAS!$A$2:$D$326,MATCH(CashReserveLevy!$C134,ActualCRLevy_SAS!$B$2:$B$326,0),4)</f>
        <v>0</v>
      </c>
      <c r="M134" s="31" t="str">
        <f t="shared" si="13"/>
        <v/>
      </c>
      <c r="N134" s="1" t="str">
        <f t="shared" si="14"/>
        <v/>
      </c>
      <c r="O134" s="1" t="str">
        <f t="shared" si="10"/>
        <v/>
      </c>
    </row>
    <row r="135" spans="1:15" x14ac:dyDescent="0.2">
      <c r="A135" s="7">
        <v>2026</v>
      </c>
      <c r="B135" s="7" t="s">
        <v>20</v>
      </c>
      <c r="C135" s="7" t="s">
        <v>277</v>
      </c>
      <c r="D135" s="7" t="s">
        <v>687</v>
      </c>
      <c r="E135" s="7" t="s">
        <v>687</v>
      </c>
      <c r="F135" s="7" t="s">
        <v>277</v>
      </c>
      <c r="G135" s="7" t="s">
        <v>278</v>
      </c>
      <c r="H135" s="8">
        <f>ROUND(SUMPRODUCT(SUMIF(Final!$G$4:$G$330,CashReserveLevy!D135:F135,Final!$C$4:$C$330)),0)</f>
        <v>7930884</v>
      </c>
      <c r="I135" s="8">
        <f t="shared" si="11"/>
        <v>1586177</v>
      </c>
      <c r="J135" s="8">
        <f>ROUND(SUMPRODUCT(SUMIF(Final!$G$4:$G$330,CashReserveLevy!D135:F135,Final!$E$4:$E$330)),0)</f>
        <v>1927106</v>
      </c>
      <c r="K135" s="8">
        <f t="shared" si="12"/>
        <v>0</v>
      </c>
      <c r="L135" s="8">
        <f>INDEX(ActualCRLevy_SAS!$A$2:$D$326,MATCH(CashReserveLevy!$C135,ActualCRLevy_SAS!$B$2:$B$326,0),4)</f>
        <v>0</v>
      </c>
      <c r="M135" s="31" t="str">
        <f t="shared" si="13"/>
        <v/>
      </c>
      <c r="N135" s="1" t="str">
        <f t="shared" si="14"/>
        <v/>
      </c>
      <c r="O135" s="1" t="str">
        <f t="shared" si="10"/>
        <v/>
      </c>
    </row>
    <row r="136" spans="1:15" x14ac:dyDescent="0.2">
      <c r="A136" s="7">
        <v>2026</v>
      </c>
      <c r="B136" s="7" t="s">
        <v>11</v>
      </c>
      <c r="C136" s="7" t="s">
        <v>279</v>
      </c>
      <c r="D136" s="7" t="s">
        <v>687</v>
      </c>
      <c r="E136" s="7" t="s">
        <v>687</v>
      </c>
      <c r="F136" s="7" t="s">
        <v>279</v>
      </c>
      <c r="G136" s="7" t="s">
        <v>280</v>
      </c>
      <c r="H136" s="8">
        <f>ROUND(SUMPRODUCT(SUMIF(Final!$G$4:$G$330,CashReserveLevy!D136:F136,Final!$C$4:$C$330)),0)</f>
        <v>9484622</v>
      </c>
      <c r="I136" s="8">
        <f t="shared" si="11"/>
        <v>1896924</v>
      </c>
      <c r="J136" s="8">
        <f>ROUND(SUMPRODUCT(SUMIF(Final!$G$4:$G$330,CashReserveLevy!D136:F136,Final!$E$4:$E$330)),0)</f>
        <v>1470964</v>
      </c>
      <c r="K136" s="8">
        <f t="shared" si="12"/>
        <v>425960</v>
      </c>
      <c r="L136" s="8">
        <f>INDEX(ActualCRLevy_SAS!$A$2:$D$326,MATCH(CashReserveLevy!$C136,ActualCRLevy_SAS!$B$2:$B$326,0),4)</f>
        <v>325960</v>
      </c>
      <c r="M136" s="31" t="str">
        <f t="shared" si="13"/>
        <v/>
      </c>
      <c r="N136" s="1" t="str">
        <f t="shared" si="14"/>
        <v/>
      </c>
      <c r="O136" s="1" t="str">
        <f t="shared" si="10"/>
        <v/>
      </c>
    </row>
    <row r="137" spans="1:15" x14ac:dyDescent="0.2">
      <c r="A137" s="7">
        <v>2026</v>
      </c>
      <c r="B137" s="7" t="s">
        <v>20</v>
      </c>
      <c r="C137" s="7" t="s">
        <v>281</v>
      </c>
      <c r="D137" s="7" t="s">
        <v>687</v>
      </c>
      <c r="E137" s="7" t="s">
        <v>687</v>
      </c>
      <c r="F137" s="7" t="s">
        <v>281</v>
      </c>
      <c r="G137" s="7" t="s">
        <v>282</v>
      </c>
      <c r="H137" s="8">
        <f>ROUND(SUMPRODUCT(SUMIF(Final!$G$4:$G$330,CashReserveLevy!D137:F137,Final!$C$4:$C$330)),0)</f>
        <v>5145786</v>
      </c>
      <c r="I137" s="8">
        <f t="shared" si="11"/>
        <v>1029157</v>
      </c>
      <c r="J137" s="8">
        <f>ROUND(SUMPRODUCT(SUMIF(Final!$G$4:$G$330,CashReserveLevy!D137:F137,Final!$E$4:$E$330)),0)</f>
        <v>209272</v>
      </c>
      <c r="K137" s="8">
        <f t="shared" si="12"/>
        <v>819885</v>
      </c>
      <c r="L137" s="8">
        <f>INDEX(ActualCRLevy_SAS!$A$2:$D$326,MATCH(CashReserveLevy!$C137,ActualCRLevy_SAS!$B$2:$B$326,0),4)</f>
        <v>500000</v>
      </c>
      <c r="M137" s="31" t="str">
        <f t="shared" si="13"/>
        <v/>
      </c>
      <c r="N137" s="1" t="str">
        <f t="shared" si="14"/>
        <v/>
      </c>
      <c r="O137" s="1" t="str">
        <f t="shared" si="10"/>
        <v/>
      </c>
    </row>
    <row r="138" spans="1:15" x14ac:dyDescent="0.2">
      <c r="A138" s="7">
        <v>2026</v>
      </c>
      <c r="B138" s="7" t="s">
        <v>28</v>
      </c>
      <c r="C138" s="7" t="s">
        <v>283</v>
      </c>
      <c r="D138" s="7" t="s">
        <v>687</v>
      </c>
      <c r="E138" s="7" t="s">
        <v>687</v>
      </c>
      <c r="F138" s="7" t="s">
        <v>283</v>
      </c>
      <c r="G138" s="7" t="s">
        <v>284</v>
      </c>
      <c r="H138" s="8">
        <f>ROUND(SUMPRODUCT(SUMIF(Final!$G$4:$G$330,CashReserveLevy!D138:F138,Final!$C$4:$C$330)),0)</f>
        <v>16827701</v>
      </c>
      <c r="I138" s="8">
        <f t="shared" si="11"/>
        <v>3365540</v>
      </c>
      <c r="J138" s="8">
        <f>ROUND(SUMPRODUCT(SUMIF(Final!$G$4:$G$330,CashReserveLevy!D138:F138,Final!$E$4:$E$330)),0)</f>
        <v>2639313</v>
      </c>
      <c r="K138" s="8">
        <f t="shared" si="12"/>
        <v>726227</v>
      </c>
      <c r="L138" s="8">
        <f>INDEX(ActualCRLevy_SAS!$A$2:$D$326,MATCH(CashReserveLevy!$C138,ActualCRLevy_SAS!$B$2:$B$326,0),4)</f>
        <v>726227</v>
      </c>
      <c r="M138" s="31" t="str">
        <f t="shared" si="13"/>
        <v>Max</v>
      </c>
      <c r="N138" s="1" t="str">
        <f t="shared" si="14"/>
        <v/>
      </c>
      <c r="O138" s="1" t="str">
        <f t="shared" si="10"/>
        <v/>
      </c>
    </row>
    <row r="139" spans="1:15" x14ac:dyDescent="0.2">
      <c r="A139" s="7">
        <v>2026</v>
      </c>
      <c r="B139" s="7" t="s">
        <v>5</v>
      </c>
      <c r="C139" s="7" t="s">
        <v>285</v>
      </c>
      <c r="D139" s="7" t="s">
        <v>687</v>
      </c>
      <c r="E139" s="7" t="s">
        <v>687</v>
      </c>
      <c r="F139" s="7" t="s">
        <v>285</v>
      </c>
      <c r="G139" s="7" t="s">
        <v>286</v>
      </c>
      <c r="H139" s="8">
        <f>ROUND(SUMPRODUCT(SUMIF(Final!$G$4:$G$330,CashReserveLevy!D139:F139,Final!$C$4:$C$330)),0)</f>
        <v>7033197</v>
      </c>
      <c r="I139" s="8">
        <f t="shared" si="11"/>
        <v>1406639</v>
      </c>
      <c r="J139" s="8">
        <f>ROUND(SUMPRODUCT(SUMIF(Final!$G$4:$G$330,CashReserveLevy!D139:F139,Final!$E$4:$E$330)),0)</f>
        <v>806861</v>
      </c>
      <c r="K139" s="8">
        <f t="shared" si="12"/>
        <v>599778</v>
      </c>
      <c r="L139" s="8">
        <f>INDEX(ActualCRLevy_SAS!$A$2:$D$326,MATCH(CashReserveLevy!$C139,ActualCRLevy_SAS!$B$2:$B$326,0),4)</f>
        <v>285000</v>
      </c>
      <c r="M139" s="31" t="str">
        <f t="shared" si="13"/>
        <v/>
      </c>
      <c r="N139" s="1" t="str">
        <f t="shared" si="14"/>
        <v/>
      </c>
      <c r="O139" s="1" t="str">
        <f t="shared" si="10"/>
        <v/>
      </c>
    </row>
    <row r="140" spans="1:15" x14ac:dyDescent="0.2">
      <c r="A140" s="7">
        <v>2026</v>
      </c>
      <c r="B140" s="7" t="s">
        <v>5</v>
      </c>
      <c r="C140" s="7" t="s">
        <v>287</v>
      </c>
      <c r="D140" s="7" t="s">
        <v>687</v>
      </c>
      <c r="E140" s="7" t="s">
        <v>687</v>
      </c>
      <c r="F140" s="7" t="s">
        <v>287</v>
      </c>
      <c r="G140" s="7" t="s">
        <v>288</v>
      </c>
      <c r="H140" s="8">
        <f>ROUND(SUMPRODUCT(SUMIF(Final!$G$4:$G$330,CashReserveLevy!D140:F140,Final!$C$4:$C$330)),0)</f>
        <v>10638306</v>
      </c>
      <c r="I140" s="8">
        <f t="shared" si="11"/>
        <v>2127661</v>
      </c>
      <c r="J140" s="8">
        <f>ROUND(SUMPRODUCT(SUMIF(Final!$G$4:$G$330,CashReserveLevy!D140:F140,Final!$E$4:$E$330)),0)</f>
        <v>1765071</v>
      </c>
      <c r="K140" s="8">
        <f t="shared" si="12"/>
        <v>362590</v>
      </c>
      <c r="L140" s="8">
        <f>INDEX(ActualCRLevy_SAS!$A$2:$D$326,MATCH(CashReserveLevy!$C140,ActualCRLevy_SAS!$B$2:$B$326,0),4)</f>
        <v>362590</v>
      </c>
      <c r="M140" s="31" t="str">
        <f t="shared" si="13"/>
        <v>Max</v>
      </c>
      <c r="N140" s="1" t="str">
        <f t="shared" si="14"/>
        <v/>
      </c>
      <c r="O140" s="1" t="str">
        <f t="shared" si="10"/>
        <v/>
      </c>
    </row>
    <row r="141" spans="1:15" x14ac:dyDescent="0.2">
      <c r="A141" s="7">
        <v>2026</v>
      </c>
      <c r="B141" s="7" t="s">
        <v>14</v>
      </c>
      <c r="C141" s="7" t="s">
        <v>289</v>
      </c>
      <c r="D141" s="7" t="s">
        <v>687</v>
      </c>
      <c r="E141" s="7" t="s">
        <v>687</v>
      </c>
      <c r="F141" s="7" t="s">
        <v>289</v>
      </c>
      <c r="G141" s="7" t="s">
        <v>290</v>
      </c>
      <c r="H141" s="8">
        <f>ROUND(SUMPRODUCT(SUMIF(Final!$G$4:$G$330,CashReserveLevy!D141:F141,Final!$C$4:$C$330)),0)</f>
        <v>19132685</v>
      </c>
      <c r="I141" s="8">
        <f t="shared" si="11"/>
        <v>3826537</v>
      </c>
      <c r="J141" s="8">
        <f>ROUND(SUMPRODUCT(SUMIF(Final!$G$4:$G$330,CashReserveLevy!D141:F141,Final!$E$4:$E$330)),0)</f>
        <v>4596395</v>
      </c>
      <c r="K141" s="8">
        <f t="shared" si="12"/>
        <v>0</v>
      </c>
      <c r="L141" s="8">
        <f>INDEX(ActualCRLevy_SAS!$A$2:$D$326,MATCH(CashReserveLevy!$C141,ActualCRLevy_SAS!$B$2:$B$326,0),4)</f>
        <v>0</v>
      </c>
      <c r="M141" s="31" t="str">
        <f t="shared" si="13"/>
        <v/>
      </c>
      <c r="N141" s="1" t="str">
        <f t="shared" si="14"/>
        <v/>
      </c>
      <c r="O141" s="1" t="str">
        <f t="shared" ref="O141:O204" si="15">IF(L141&gt;K141,"Exceedes Maximum Limit","")</f>
        <v/>
      </c>
    </row>
    <row r="142" spans="1:15" x14ac:dyDescent="0.2">
      <c r="A142" s="7">
        <v>2026</v>
      </c>
      <c r="B142" s="7" t="s">
        <v>8</v>
      </c>
      <c r="C142" s="7" t="s">
        <v>291</v>
      </c>
      <c r="D142" s="7" t="s">
        <v>687</v>
      </c>
      <c r="E142" s="7" t="s">
        <v>687</v>
      </c>
      <c r="F142" s="7" t="s">
        <v>291</v>
      </c>
      <c r="G142" s="7" t="s">
        <v>677</v>
      </c>
      <c r="H142" s="8">
        <f>ROUND(SUMPRODUCT(SUMIF(Final!$G$4:$G$330,CashReserveLevy!D142:F142,Final!$C$4:$C$330)),0)</f>
        <v>10354419</v>
      </c>
      <c r="I142" s="8">
        <f t="shared" si="11"/>
        <v>2070884</v>
      </c>
      <c r="J142" s="8">
        <f>ROUND(SUMPRODUCT(SUMIF(Final!$G$4:$G$330,CashReserveLevy!D142:F142,Final!$E$4:$E$330)),0)</f>
        <v>1634886</v>
      </c>
      <c r="K142" s="8">
        <f t="shared" si="12"/>
        <v>435998</v>
      </c>
      <c r="L142" s="8">
        <f>INDEX(ActualCRLevy_SAS!$A$2:$D$326,MATCH(CashReserveLevy!$C142,ActualCRLevy_SAS!$B$2:$B$326,0),4)</f>
        <v>400000</v>
      </c>
      <c r="M142" s="31" t="str">
        <f t="shared" si="13"/>
        <v/>
      </c>
      <c r="N142" s="1" t="str">
        <f t="shared" si="14"/>
        <v/>
      </c>
      <c r="O142" s="1" t="str">
        <f t="shared" si="15"/>
        <v/>
      </c>
    </row>
    <row r="143" spans="1:15" x14ac:dyDescent="0.2">
      <c r="A143" s="7">
        <v>2026</v>
      </c>
      <c r="B143" s="7" t="s">
        <v>5</v>
      </c>
      <c r="C143" s="7" t="s">
        <v>292</v>
      </c>
      <c r="D143" s="7" t="s">
        <v>687</v>
      </c>
      <c r="E143" s="7" t="s">
        <v>687</v>
      </c>
      <c r="F143" s="7" t="s">
        <v>292</v>
      </c>
      <c r="G143" s="7" t="s">
        <v>293</v>
      </c>
      <c r="H143" s="8">
        <f>ROUND(SUMPRODUCT(SUMIF(Final!$G$4:$G$330,CashReserveLevy!D143:F143,Final!$C$4:$C$330)),0)</f>
        <v>19973689</v>
      </c>
      <c r="I143" s="8">
        <f t="shared" si="11"/>
        <v>3994738</v>
      </c>
      <c r="J143" s="8">
        <f>ROUND(SUMPRODUCT(SUMIF(Final!$G$4:$G$330,CashReserveLevy!D143:F143,Final!$E$4:$E$330)),0)</f>
        <v>5308686</v>
      </c>
      <c r="K143" s="8">
        <f t="shared" si="12"/>
        <v>0</v>
      </c>
      <c r="L143" s="8">
        <f>INDEX(ActualCRLevy_SAS!$A$2:$D$326,MATCH(CashReserveLevy!$C143,ActualCRLevy_SAS!$B$2:$B$326,0),4)</f>
        <v>0</v>
      </c>
      <c r="M143" s="31" t="str">
        <f t="shared" si="13"/>
        <v/>
      </c>
      <c r="N143" s="1" t="str">
        <f t="shared" si="14"/>
        <v/>
      </c>
      <c r="O143" s="1" t="str">
        <f t="shared" si="15"/>
        <v/>
      </c>
    </row>
    <row r="144" spans="1:15" x14ac:dyDescent="0.2">
      <c r="A144" s="7">
        <v>2026</v>
      </c>
      <c r="B144" s="7" t="s">
        <v>0</v>
      </c>
      <c r="C144" s="7" t="s">
        <v>294</v>
      </c>
      <c r="D144" s="7" t="s">
        <v>687</v>
      </c>
      <c r="E144" s="7" t="s">
        <v>687</v>
      </c>
      <c r="F144" s="7" t="s">
        <v>294</v>
      </c>
      <c r="G144" s="7" t="s">
        <v>295</v>
      </c>
      <c r="H144" s="8">
        <f>ROUND(SUMPRODUCT(SUMIF(Final!$G$4:$G$330,CashReserveLevy!D144:F144,Final!$C$4:$C$330)),0)</f>
        <v>44415938</v>
      </c>
      <c r="I144" s="8">
        <f t="shared" si="11"/>
        <v>8883188</v>
      </c>
      <c r="J144" s="8">
        <f>ROUND(SUMPRODUCT(SUMIF(Final!$G$4:$G$330,CashReserveLevy!D144:F144,Final!$E$4:$E$330)),0)</f>
        <v>9331521</v>
      </c>
      <c r="K144" s="8">
        <f t="shared" si="12"/>
        <v>0</v>
      </c>
      <c r="L144" s="8">
        <f>INDEX(ActualCRLevy_SAS!$A$2:$D$326,MATCH(CashReserveLevy!$C144,ActualCRLevy_SAS!$B$2:$B$326,0),4)</f>
        <v>0</v>
      </c>
      <c r="M144" s="31" t="str">
        <f t="shared" si="13"/>
        <v/>
      </c>
      <c r="N144" s="1" t="str">
        <f t="shared" si="14"/>
        <v/>
      </c>
      <c r="O144" s="1" t="str">
        <f t="shared" si="15"/>
        <v/>
      </c>
    </row>
    <row r="145" spans="1:15" x14ac:dyDescent="0.2">
      <c r="A145" s="7">
        <v>2026</v>
      </c>
      <c r="B145" s="7" t="s">
        <v>0</v>
      </c>
      <c r="C145" s="7" t="s">
        <v>296</v>
      </c>
      <c r="D145" s="7" t="s">
        <v>687</v>
      </c>
      <c r="E145" s="7" t="s">
        <v>687</v>
      </c>
      <c r="F145" s="7" t="s">
        <v>296</v>
      </c>
      <c r="G145" s="7" t="s">
        <v>297</v>
      </c>
      <c r="H145" s="8">
        <f>ROUND(SUMPRODUCT(SUMIF(Final!$G$4:$G$330,CashReserveLevy!D145:F145,Final!$C$4:$C$330)),0)</f>
        <v>11813631</v>
      </c>
      <c r="I145" s="8">
        <f t="shared" si="11"/>
        <v>2362726</v>
      </c>
      <c r="J145" s="8">
        <f>ROUND(SUMPRODUCT(SUMIF(Final!$G$4:$G$330,CashReserveLevy!D145:F145,Final!$E$4:$E$330)),0)</f>
        <v>2081302</v>
      </c>
      <c r="K145" s="8">
        <f t="shared" si="12"/>
        <v>281424</v>
      </c>
      <c r="L145" s="8">
        <f>INDEX(ActualCRLevy_SAS!$A$2:$D$326,MATCH(CashReserveLevy!$C145,ActualCRLevy_SAS!$B$2:$B$326,0),4)</f>
        <v>281424</v>
      </c>
      <c r="M145" s="31" t="str">
        <f t="shared" si="13"/>
        <v>Max</v>
      </c>
      <c r="N145" s="1" t="str">
        <f t="shared" si="14"/>
        <v/>
      </c>
      <c r="O145" s="1" t="str">
        <f t="shared" si="15"/>
        <v/>
      </c>
    </row>
    <row r="146" spans="1:15" x14ac:dyDescent="0.2">
      <c r="A146" s="7">
        <v>2026</v>
      </c>
      <c r="B146" s="7" t="s">
        <v>20</v>
      </c>
      <c r="C146" s="7" t="s">
        <v>298</v>
      </c>
      <c r="D146" s="7" t="s">
        <v>687</v>
      </c>
      <c r="E146" s="7" t="s">
        <v>687</v>
      </c>
      <c r="F146" s="7" t="s">
        <v>298</v>
      </c>
      <c r="G146" s="7" t="s">
        <v>299</v>
      </c>
      <c r="H146" s="8">
        <f>ROUND(SUMPRODUCT(SUMIF(Final!$G$4:$G$330,CashReserveLevy!D146:F146,Final!$C$4:$C$330)),0)</f>
        <v>198158230</v>
      </c>
      <c r="I146" s="8">
        <f t="shared" si="11"/>
        <v>39631646</v>
      </c>
      <c r="J146" s="8">
        <f>ROUND(SUMPRODUCT(SUMIF(Final!$G$4:$G$330,CashReserveLevy!D146:F146,Final!$E$4:$E$330)),0)</f>
        <v>14881750</v>
      </c>
      <c r="K146" s="8">
        <f t="shared" si="12"/>
        <v>24749896</v>
      </c>
      <c r="L146" s="8">
        <f>INDEX(ActualCRLevy_SAS!$A$2:$D$326,MATCH(CashReserveLevy!$C146,ActualCRLevy_SAS!$B$2:$B$326,0),4)</f>
        <v>24021303</v>
      </c>
      <c r="M146" s="31" t="str">
        <f t="shared" si="13"/>
        <v/>
      </c>
      <c r="N146" s="1" t="str">
        <f t="shared" si="14"/>
        <v/>
      </c>
      <c r="O146" s="1" t="str">
        <f t="shared" si="15"/>
        <v/>
      </c>
    </row>
    <row r="147" spans="1:15" x14ac:dyDescent="0.2">
      <c r="A147" s="7">
        <v>2026</v>
      </c>
      <c r="B147" s="7" t="s">
        <v>5</v>
      </c>
      <c r="C147" s="7" t="s">
        <v>300</v>
      </c>
      <c r="D147" s="7" t="s">
        <v>687</v>
      </c>
      <c r="E147" s="7" t="s">
        <v>687</v>
      </c>
      <c r="F147" s="7" t="s">
        <v>300</v>
      </c>
      <c r="G147" s="7" t="s">
        <v>301</v>
      </c>
      <c r="H147" s="8">
        <f>ROUND(SUMPRODUCT(SUMIF(Final!$G$4:$G$330,CashReserveLevy!D147:F147,Final!$C$4:$C$330)),0)</f>
        <v>15348901</v>
      </c>
      <c r="I147" s="8">
        <f t="shared" si="11"/>
        <v>3069780</v>
      </c>
      <c r="J147" s="8">
        <f>ROUND(SUMPRODUCT(SUMIF(Final!$G$4:$G$330,CashReserveLevy!D147:F147,Final!$E$4:$E$330)),0)</f>
        <v>3455274</v>
      </c>
      <c r="K147" s="8">
        <f t="shared" si="12"/>
        <v>0</v>
      </c>
      <c r="L147" s="8">
        <f>INDEX(ActualCRLevy_SAS!$A$2:$D$326,MATCH(CashReserveLevy!$C147,ActualCRLevy_SAS!$B$2:$B$326,0),4)</f>
        <v>0</v>
      </c>
      <c r="M147" s="31" t="str">
        <f t="shared" si="13"/>
        <v/>
      </c>
      <c r="N147" s="1" t="str">
        <f t="shared" si="14"/>
        <v/>
      </c>
      <c r="O147" s="1" t="str">
        <f t="shared" si="15"/>
        <v/>
      </c>
    </row>
    <row r="148" spans="1:15" x14ac:dyDescent="0.2">
      <c r="A148" s="7">
        <v>2026</v>
      </c>
      <c r="B148" s="7" t="s">
        <v>20</v>
      </c>
      <c r="C148" s="7" t="s">
        <v>302</v>
      </c>
      <c r="D148" s="7" t="s">
        <v>687</v>
      </c>
      <c r="E148" s="7" t="s">
        <v>687</v>
      </c>
      <c r="F148" s="7" t="s">
        <v>302</v>
      </c>
      <c r="G148" s="7" t="s">
        <v>303</v>
      </c>
      <c r="H148" s="8">
        <f>ROUND(SUMPRODUCT(SUMIF(Final!$G$4:$G$330,CashReserveLevy!D148:F148,Final!$C$4:$C$330)),0)</f>
        <v>7424950</v>
      </c>
      <c r="I148" s="8">
        <f t="shared" si="11"/>
        <v>1484990</v>
      </c>
      <c r="J148" s="8">
        <f>ROUND(SUMPRODUCT(SUMIF(Final!$G$4:$G$330,CashReserveLevy!D148:F148,Final!$E$4:$E$330)),0)</f>
        <v>2423014</v>
      </c>
      <c r="K148" s="8">
        <f t="shared" si="12"/>
        <v>0</v>
      </c>
      <c r="L148" s="8">
        <f>INDEX(ActualCRLevy_SAS!$A$2:$D$326,MATCH(CashReserveLevy!$C148,ActualCRLevy_SAS!$B$2:$B$326,0),4)</f>
        <v>0</v>
      </c>
      <c r="M148" s="31" t="str">
        <f t="shared" si="13"/>
        <v/>
      </c>
      <c r="N148" s="1" t="str">
        <f t="shared" si="14"/>
        <v/>
      </c>
      <c r="O148" s="1" t="str">
        <f t="shared" si="15"/>
        <v/>
      </c>
    </row>
    <row r="149" spans="1:15" x14ac:dyDescent="0.2">
      <c r="A149" s="7">
        <v>2026</v>
      </c>
      <c r="B149" s="7" t="s">
        <v>5</v>
      </c>
      <c r="C149" s="7" t="s">
        <v>304</v>
      </c>
      <c r="D149" s="7" t="s">
        <v>687</v>
      </c>
      <c r="E149" s="7" t="s">
        <v>687</v>
      </c>
      <c r="F149" s="7" t="s">
        <v>304</v>
      </c>
      <c r="G149" s="7" t="s">
        <v>305</v>
      </c>
      <c r="H149" s="8">
        <f>ROUND(SUMPRODUCT(SUMIF(Final!$G$4:$G$330,CashReserveLevy!D149:F149,Final!$C$4:$C$330)),0)</f>
        <v>6384500</v>
      </c>
      <c r="I149" s="8">
        <f t="shared" si="11"/>
        <v>1276900</v>
      </c>
      <c r="J149" s="8">
        <f>ROUND(SUMPRODUCT(SUMIF(Final!$G$4:$G$330,CashReserveLevy!D149:F149,Final!$E$4:$E$330)),0)</f>
        <v>1540333</v>
      </c>
      <c r="K149" s="8">
        <f t="shared" si="12"/>
        <v>0</v>
      </c>
      <c r="L149" s="8">
        <f>INDEX(ActualCRLevy_SAS!$A$2:$D$326,MATCH(CashReserveLevy!$C149,ActualCRLevy_SAS!$B$2:$B$326,0),4)</f>
        <v>0</v>
      </c>
      <c r="M149" s="31" t="str">
        <f t="shared" si="13"/>
        <v/>
      </c>
      <c r="N149" s="1" t="str">
        <f t="shared" si="14"/>
        <v/>
      </c>
      <c r="O149" s="1" t="str">
        <f t="shared" si="15"/>
        <v/>
      </c>
    </row>
    <row r="150" spans="1:15" x14ac:dyDescent="0.2">
      <c r="A150" s="7">
        <v>2026</v>
      </c>
      <c r="B150" s="7" t="s">
        <v>5</v>
      </c>
      <c r="C150" s="7" t="s">
        <v>306</v>
      </c>
      <c r="D150" s="7" t="s">
        <v>687</v>
      </c>
      <c r="E150" s="7" t="s">
        <v>687</v>
      </c>
      <c r="F150" s="7" t="s">
        <v>306</v>
      </c>
      <c r="G150" s="7" t="s">
        <v>307</v>
      </c>
      <c r="H150" s="8">
        <f>ROUND(SUMPRODUCT(SUMIF(Final!$G$4:$G$330,CashReserveLevy!D150:F150,Final!$C$4:$C$330)),0)</f>
        <v>11788636</v>
      </c>
      <c r="I150" s="8">
        <f t="shared" si="11"/>
        <v>2357727</v>
      </c>
      <c r="J150" s="8">
        <f>ROUND(SUMPRODUCT(SUMIF(Final!$G$4:$G$330,CashReserveLevy!D150:F150,Final!$E$4:$E$330)),0)</f>
        <v>2499589</v>
      </c>
      <c r="K150" s="8">
        <f t="shared" si="12"/>
        <v>0</v>
      </c>
      <c r="L150" s="8">
        <f>INDEX(ActualCRLevy_SAS!$A$2:$D$326,MATCH(CashReserveLevy!$C150,ActualCRLevy_SAS!$B$2:$B$326,0),4)</f>
        <v>0</v>
      </c>
      <c r="M150" s="31" t="str">
        <f t="shared" si="13"/>
        <v/>
      </c>
      <c r="N150" s="1" t="str">
        <f t="shared" si="14"/>
        <v/>
      </c>
      <c r="O150" s="1" t="str">
        <f t="shared" si="15"/>
        <v/>
      </c>
    </row>
    <row r="151" spans="1:15" x14ac:dyDescent="0.2">
      <c r="A151" s="7">
        <v>2026</v>
      </c>
      <c r="B151" s="7" t="s">
        <v>0</v>
      </c>
      <c r="C151" s="7" t="s">
        <v>308</v>
      </c>
      <c r="D151" s="7" t="s">
        <v>687</v>
      </c>
      <c r="E151" s="7" t="s">
        <v>687</v>
      </c>
      <c r="F151" s="7" t="s">
        <v>308</v>
      </c>
      <c r="G151" s="7" t="s">
        <v>309</v>
      </c>
      <c r="H151" s="8">
        <f>ROUND(SUMPRODUCT(SUMIF(Final!$G$4:$G$330,CashReserveLevy!D151:F151,Final!$C$4:$C$330)),0)</f>
        <v>96950363</v>
      </c>
      <c r="I151" s="8">
        <f t="shared" si="11"/>
        <v>19390073</v>
      </c>
      <c r="J151" s="8">
        <f>ROUND(SUMPRODUCT(SUMIF(Final!$G$4:$G$330,CashReserveLevy!D151:F151,Final!$E$4:$E$330)),0)</f>
        <v>11784932</v>
      </c>
      <c r="K151" s="8">
        <f t="shared" si="12"/>
        <v>7605141</v>
      </c>
      <c r="L151" s="8">
        <f>INDEX(ActualCRLevy_SAS!$A$2:$D$326,MATCH(CashReserveLevy!$C151,ActualCRLevy_SAS!$B$2:$B$326,0),4)</f>
        <v>7605141</v>
      </c>
      <c r="M151" s="31" t="str">
        <f t="shared" si="13"/>
        <v>Max</v>
      </c>
      <c r="N151" s="1" t="str">
        <f t="shared" si="14"/>
        <v/>
      </c>
      <c r="O151" s="1" t="str">
        <f t="shared" si="15"/>
        <v/>
      </c>
    </row>
    <row r="152" spans="1:15" x14ac:dyDescent="0.2">
      <c r="A152" s="7">
        <v>2026</v>
      </c>
      <c r="B152" s="7" t="s">
        <v>17</v>
      </c>
      <c r="C152" s="7" t="s">
        <v>310</v>
      </c>
      <c r="D152" s="7" t="s">
        <v>687</v>
      </c>
      <c r="E152" s="7" t="s">
        <v>687</v>
      </c>
      <c r="F152" s="7" t="s">
        <v>310</v>
      </c>
      <c r="G152" s="7" t="s">
        <v>311</v>
      </c>
      <c r="H152" s="8">
        <f>ROUND(SUMPRODUCT(SUMIF(Final!$G$4:$G$330,CashReserveLevy!D152:F152,Final!$C$4:$C$330)),0)</f>
        <v>27172219</v>
      </c>
      <c r="I152" s="8">
        <f t="shared" si="11"/>
        <v>5434444</v>
      </c>
      <c r="J152" s="8">
        <f>ROUND(SUMPRODUCT(SUMIF(Final!$G$4:$G$330,CashReserveLevy!D152:F152,Final!$E$4:$E$330)),0)</f>
        <v>4921075</v>
      </c>
      <c r="K152" s="8">
        <f t="shared" si="12"/>
        <v>513369</v>
      </c>
      <c r="L152" s="8">
        <f>INDEX(ActualCRLevy_SAS!$A$2:$D$326,MATCH(CashReserveLevy!$C152,ActualCRLevy_SAS!$B$2:$B$326,0),4)</f>
        <v>513369</v>
      </c>
      <c r="M152" s="31" t="str">
        <f t="shared" si="13"/>
        <v>Max</v>
      </c>
      <c r="N152" s="1" t="str">
        <f t="shared" si="14"/>
        <v/>
      </c>
      <c r="O152" s="1" t="str">
        <f t="shared" si="15"/>
        <v/>
      </c>
    </row>
    <row r="153" spans="1:15" x14ac:dyDescent="0.2">
      <c r="A153" s="7">
        <v>2026</v>
      </c>
      <c r="B153" s="7" t="s">
        <v>17</v>
      </c>
      <c r="C153" s="7" t="s">
        <v>312</v>
      </c>
      <c r="D153" s="7" t="s">
        <v>687</v>
      </c>
      <c r="E153" s="7" t="s">
        <v>687</v>
      </c>
      <c r="F153" s="7" t="s">
        <v>312</v>
      </c>
      <c r="G153" s="7" t="s">
        <v>313</v>
      </c>
      <c r="H153" s="8">
        <f>ROUND(SUMPRODUCT(SUMIF(Final!$G$4:$G$330,CashReserveLevy!D153:F153,Final!$C$4:$C$330)),0)</f>
        <v>5294034</v>
      </c>
      <c r="I153" s="8">
        <f t="shared" si="11"/>
        <v>1058807</v>
      </c>
      <c r="J153" s="8">
        <f>ROUND(SUMPRODUCT(SUMIF(Final!$G$4:$G$330,CashReserveLevy!D153:F153,Final!$E$4:$E$330)),0)</f>
        <v>561260</v>
      </c>
      <c r="K153" s="8">
        <f t="shared" si="12"/>
        <v>497547</v>
      </c>
      <c r="L153" s="8">
        <f>INDEX(ActualCRLevy_SAS!$A$2:$D$326,MATCH(CashReserveLevy!$C153,ActualCRLevy_SAS!$B$2:$B$326,0),4)</f>
        <v>400000</v>
      </c>
      <c r="M153" s="31" t="str">
        <f t="shared" si="13"/>
        <v/>
      </c>
      <c r="N153" s="1" t="str">
        <f t="shared" si="14"/>
        <v/>
      </c>
      <c r="O153" s="1" t="str">
        <f t="shared" si="15"/>
        <v/>
      </c>
    </row>
    <row r="154" spans="1:15" x14ac:dyDescent="0.2">
      <c r="A154" s="7">
        <v>2026</v>
      </c>
      <c r="B154" s="7" t="s">
        <v>11</v>
      </c>
      <c r="C154" s="7" t="s">
        <v>314</v>
      </c>
      <c r="D154" s="7" t="s">
        <v>687</v>
      </c>
      <c r="E154" s="7" t="s">
        <v>687</v>
      </c>
      <c r="F154" s="7" t="s">
        <v>314</v>
      </c>
      <c r="G154" s="7" t="s">
        <v>315</v>
      </c>
      <c r="H154" s="8">
        <f>ROUND(SUMPRODUCT(SUMIF(Final!$G$4:$G$330,CashReserveLevy!D154:F154,Final!$C$4:$C$330)),0)</f>
        <v>7422727</v>
      </c>
      <c r="I154" s="8">
        <f t="shared" si="11"/>
        <v>1484545</v>
      </c>
      <c r="J154" s="8">
        <f>ROUND(SUMPRODUCT(SUMIF(Final!$G$4:$G$330,CashReserveLevy!D154:F154,Final!$E$4:$E$330)),0)</f>
        <v>632278</v>
      </c>
      <c r="K154" s="8">
        <f t="shared" si="12"/>
        <v>852267</v>
      </c>
      <c r="L154" s="8">
        <f>INDEX(ActualCRLevy_SAS!$A$2:$D$326,MATCH(CashReserveLevy!$C154,ActualCRLevy_SAS!$B$2:$B$326,0),4)</f>
        <v>400000</v>
      </c>
      <c r="M154" s="31" t="str">
        <f t="shared" si="13"/>
        <v/>
      </c>
      <c r="N154" s="1" t="str">
        <f t="shared" si="14"/>
        <v/>
      </c>
      <c r="O154" s="1" t="str">
        <f t="shared" si="15"/>
        <v/>
      </c>
    </row>
    <row r="155" spans="1:15" x14ac:dyDescent="0.2">
      <c r="A155" s="7">
        <v>2026</v>
      </c>
      <c r="B155" s="7" t="s">
        <v>0</v>
      </c>
      <c r="C155" s="7" t="s">
        <v>316</v>
      </c>
      <c r="D155" s="7" t="s">
        <v>687</v>
      </c>
      <c r="E155" s="7" t="s">
        <v>687</v>
      </c>
      <c r="F155" s="7" t="s">
        <v>316</v>
      </c>
      <c r="G155" s="7" t="s">
        <v>317</v>
      </c>
      <c r="H155" s="8">
        <f>ROUND(SUMPRODUCT(SUMIF(Final!$G$4:$G$330,CashReserveLevy!D155:F155,Final!$C$4:$C$330)),0)</f>
        <v>24424869</v>
      </c>
      <c r="I155" s="8">
        <f t="shared" si="11"/>
        <v>4884974</v>
      </c>
      <c r="J155" s="8">
        <f>ROUND(SUMPRODUCT(SUMIF(Final!$G$4:$G$330,CashReserveLevy!D155:F155,Final!$E$4:$E$330)),0)</f>
        <v>2477749</v>
      </c>
      <c r="K155" s="8">
        <f t="shared" si="12"/>
        <v>2407225</v>
      </c>
      <c r="L155" s="8">
        <f>INDEX(ActualCRLevy_SAS!$A$2:$D$326,MATCH(CashReserveLevy!$C155,ActualCRLevy_SAS!$B$2:$B$326,0),4)</f>
        <v>1243645</v>
      </c>
      <c r="M155" s="31" t="str">
        <f t="shared" si="13"/>
        <v/>
      </c>
      <c r="N155" s="1" t="str">
        <f t="shared" si="14"/>
        <v/>
      </c>
      <c r="O155" s="1" t="str">
        <f t="shared" si="15"/>
        <v/>
      </c>
    </row>
    <row r="156" spans="1:15" x14ac:dyDescent="0.2">
      <c r="A156" s="7">
        <v>2026</v>
      </c>
      <c r="B156" s="7" t="s">
        <v>5</v>
      </c>
      <c r="C156" s="7" t="s">
        <v>318</v>
      </c>
      <c r="D156" s="7" t="s">
        <v>687</v>
      </c>
      <c r="E156" s="7" t="s">
        <v>687</v>
      </c>
      <c r="F156" s="7" t="s">
        <v>318</v>
      </c>
      <c r="G156" s="7" t="s">
        <v>319</v>
      </c>
      <c r="H156" s="8">
        <f>ROUND(SUMPRODUCT(SUMIF(Final!$G$4:$G$330,CashReserveLevy!D156:F156,Final!$C$4:$C$330)),0)</f>
        <v>8552485</v>
      </c>
      <c r="I156" s="8">
        <f t="shared" si="11"/>
        <v>1710497</v>
      </c>
      <c r="J156" s="8">
        <f>ROUND(SUMPRODUCT(SUMIF(Final!$G$4:$G$330,CashReserveLevy!D156:F156,Final!$E$4:$E$330)),0)</f>
        <v>2107930</v>
      </c>
      <c r="K156" s="8">
        <f t="shared" si="12"/>
        <v>0</v>
      </c>
      <c r="L156" s="8">
        <f>INDEX(ActualCRLevy_SAS!$A$2:$D$326,MATCH(CashReserveLevy!$C156,ActualCRLevy_SAS!$B$2:$B$326,0),4)</f>
        <v>0</v>
      </c>
      <c r="M156" s="31" t="str">
        <f t="shared" si="13"/>
        <v/>
      </c>
      <c r="N156" s="1" t="str">
        <f t="shared" si="14"/>
        <v/>
      </c>
      <c r="O156" s="1" t="str">
        <f t="shared" si="15"/>
        <v/>
      </c>
    </row>
    <row r="157" spans="1:15" x14ac:dyDescent="0.2">
      <c r="A157" s="7">
        <v>2026</v>
      </c>
      <c r="B157" s="7" t="s">
        <v>8</v>
      </c>
      <c r="C157" s="7" t="s">
        <v>320</v>
      </c>
      <c r="D157" s="7" t="s">
        <v>687</v>
      </c>
      <c r="E157" s="7" t="s">
        <v>687</v>
      </c>
      <c r="F157" s="7" t="s">
        <v>320</v>
      </c>
      <c r="G157" s="7" t="s">
        <v>321</v>
      </c>
      <c r="H157" s="8">
        <f>ROUND(SUMPRODUCT(SUMIF(Final!$G$4:$G$330,CashReserveLevy!D157:F157,Final!$C$4:$C$330)),0)</f>
        <v>4802157</v>
      </c>
      <c r="I157" s="8">
        <f t="shared" si="11"/>
        <v>960431</v>
      </c>
      <c r="J157" s="8">
        <f>ROUND(SUMPRODUCT(SUMIF(Final!$G$4:$G$330,CashReserveLevy!D157:F157,Final!$E$4:$E$330)),0)</f>
        <v>1505754</v>
      </c>
      <c r="K157" s="8">
        <f t="shared" si="12"/>
        <v>0</v>
      </c>
      <c r="L157" s="8">
        <f>INDEX(ActualCRLevy_SAS!$A$2:$D$326,MATCH(CashReserveLevy!$C157,ActualCRLevy_SAS!$B$2:$B$326,0),4)</f>
        <v>0</v>
      </c>
      <c r="M157" s="31" t="str">
        <f t="shared" si="13"/>
        <v/>
      </c>
      <c r="N157" s="1" t="str">
        <f t="shared" si="14"/>
        <v/>
      </c>
      <c r="O157" s="1" t="str">
        <f t="shared" si="15"/>
        <v/>
      </c>
    </row>
    <row r="158" spans="1:15" x14ac:dyDescent="0.2">
      <c r="A158" s="7">
        <v>2026</v>
      </c>
      <c r="B158" s="7" t="s">
        <v>14</v>
      </c>
      <c r="C158" s="7" t="s">
        <v>322</v>
      </c>
      <c r="D158" s="7" t="s">
        <v>687</v>
      </c>
      <c r="E158" s="7" t="s">
        <v>687</v>
      </c>
      <c r="F158" s="7" t="s">
        <v>322</v>
      </c>
      <c r="G158" s="7" t="s">
        <v>323</v>
      </c>
      <c r="H158" s="8">
        <f>ROUND(SUMPRODUCT(SUMIF(Final!$G$4:$G$330,CashReserveLevy!D158:F158,Final!$C$4:$C$330)),0)</f>
        <v>4667655</v>
      </c>
      <c r="I158" s="8">
        <f t="shared" si="11"/>
        <v>933531</v>
      </c>
      <c r="J158" s="8">
        <f>ROUND(SUMPRODUCT(SUMIF(Final!$G$4:$G$330,CashReserveLevy!D158:F158,Final!$E$4:$E$330)),0)</f>
        <v>1074704</v>
      </c>
      <c r="K158" s="8">
        <f t="shared" si="12"/>
        <v>0</v>
      </c>
      <c r="L158" s="8">
        <f>INDEX(ActualCRLevy_SAS!$A$2:$D$326,MATCH(CashReserveLevy!$C158,ActualCRLevy_SAS!$B$2:$B$326,0),4)</f>
        <v>0</v>
      </c>
      <c r="M158" s="31" t="str">
        <f t="shared" si="13"/>
        <v/>
      </c>
      <c r="N158" s="1" t="str">
        <f t="shared" si="14"/>
        <v/>
      </c>
      <c r="O158" s="1" t="str">
        <f t="shared" si="15"/>
        <v/>
      </c>
    </row>
    <row r="159" spans="1:15" x14ac:dyDescent="0.2">
      <c r="A159" s="7">
        <v>2026</v>
      </c>
      <c r="B159" s="7" t="s">
        <v>11</v>
      </c>
      <c r="C159" s="7" t="s">
        <v>324</v>
      </c>
      <c r="D159" s="7" t="s">
        <v>687</v>
      </c>
      <c r="E159" s="7" t="s">
        <v>687</v>
      </c>
      <c r="F159" s="7" t="s">
        <v>324</v>
      </c>
      <c r="G159" s="7" t="s">
        <v>325</v>
      </c>
      <c r="H159" s="8">
        <f>ROUND(SUMPRODUCT(SUMIF(Final!$G$4:$G$330,CashReserveLevy!D159:F159,Final!$C$4:$C$330)),0)</f>
        <v>8787737</v>
      </c>
      <c r="I159" s="8">
        <f t="shared" si="11"/>
        <v>1757547</v>
      </c>
      <c r="J159" s="8">
        <f>ROUND(SUMPRODUCT(SUMIF(Final!$G$4:$G$330,CashReserveLevy!D159:F159,Final!$E$4:$E$330)),0)</f>
        <v>5836278</v>
      </c>
      <c r="K159" s="8">
        <f t="shared" si="12"/>
        <v>0</v>
      </c>
      <c r="L159" s="8">
        <f>INDEX(ActualCRLevy_SAS!$A$2:$D$326,MATCH(CashReserveLevy!$C159,ActualCRLevy_SAS!$B$2:$B$326,0),4)</f>
        <v>0</v>
      </c>
      <c r="M159" s="31" t="str">
        <f t="shared" si="13"/>
        <v/>
      </c>
      <c r="N159" s="1" t="str">
        <f t="shared" si="14"/>
        <v/>
      </c>
      <c r="O159" s="1" t="str">
        <f t="shared" si="15"/>
        <v/>
      </c>
    </row>
    <row r="160" spans="1:15" x14ac:dyDescent="0.2">
      <c r="A160" s="7">
        <v>2026</v>
      </c>
      <c r="B160" s="7" t="s">
        <v>11</v>
      </c>
      <c r="C160" s="7" t="s">
        <v>326</v>
      </c>
      <c r="D160" s="7" t="s">
        <v>687</v>
      </c>
      <c r="E160" s="7" t="s">
        <v>687</v>
      </c>
      <c r="F160" s="7" t="s">
        <v>326</v>
      </c>
      <c r="G160" s="7" t="s">
        <v>327</v>
      </c>
      <c r="H160" s="8">
        <f>ROUND(SUMPRODUCT(SUMIF(Final!$G$4:$G$330,CashReserveLevy!D160:F160,Final!$C$4:$C$330)),0)</f>
        <v>27783339</v>
      </c>
      <c r="I160" s="8">
        <f t="shared" si="11"/>
        <v>5556668</v>
      </c>
      <c r="J160" s="8">
        <f>ROUND(SUMPRODUCT(SUMIF(Final!$G$4:$G$330,CashReserveLevy!D160:F160,Final!$E$4:$E$330)),0)</f>
        <v>10068130</v>
      </c>
      <c r="K160" s="8">
        <f t="shared" si="12"/>
        <v>0</v>
      </c>
      <c r="L160" s="8">
        <f>INDEX(ActualCRLevy_SAS!$A$2:$D$326,MATCH(CashReserveLevy!$C160,ActualCRLevy_SAS!$B$2:$B$326,0),4)</f>
        <v>0</v>
      </c>
      <c r="M160" s="31" t="str">
        <f t="shared" si="13"/>
        <v/>
      </c>
      <c r="N160" s="1" t="str">
        <f t="shared" si="14"/>
        <v/>
      </c>
      <c r="O160" s="1" t="str">
        <f t="shared" si="15"/>
        <v/>
      </c>
    </row>
    <row r="161" spans="1:15" x14ac:dyDescent="0.2">
      <c r="A161" s="7">
        <v>2026</v>
      </c>
      <c r="B161" s="7" t="s">
        <v>8</v>
      </c>
      <c r="C161" s="7" t="s">
        <v>328</v>
      </c>
      <c r="D161" s="7" t="s">
        <v>687</v>
      </c>
      <c r="E161" s="7" t="s">
        <v>687</v>
      </c>
      <c r="F161" s="7" t="s">
        <v>328</v>
      </c>
      <c r="G161" s="7" t="s">
        <v>329</v>
      </c>
      <c r="H161" s="8">
        <f>ROUND(SUMPRODUCT(SUMIF(Final!$G$4:$G$330,CashReserveLevy!D161:F161,Final!$C$4:$C$330)),0)</f>
        <v>6569520</v>
      </c>
      <c r="I161" s="8">
        <f t="shared" si="11"/>
        <v>1313904</v>
      </c>
      <c r="J161" s="8">
        <f>ROUND(SUMPRODUCT(SUMIF(Final!$G$4:$G$330,CashReserveLevy!D161:F161,Final!$E$4:$E$330)),0)</f>
        <v>2440937</v>
      </c>
      <c r="K161" s="8">
        <f t="shared" si="12"/>
        <v>0</v>
      </c>
      <c r="L161" s="8">
        <f>INDEX(ActualCRLevy_SAS!$A$2:$D$326,MATCH(CashReserveLevy!$C161,ActualCRLevy_SAS!$B$2:$B$326,0),4)</f>
        <v>0</v>
      </c>
      <c r="M161" s="31" t="str">
        <f t="shared" si="13"/>
        <v/>
      </c>
      <c r="N161" s="1" t="str">
        <f t="shared" si="14"/>
        <v/>
      </c>
      <c r="O161" s="1" t="str">
        <f t="shared" si="15"/>
        <v/>
      </c>
    </row>
    <row r="162" spans="1:15" x14ac:dyDescent="0.2">
      <c r="A162" s="7">
        <v>2026</v>
      </c>
      <c r="B162" s="7" t="s">
        <v>8</v>
      </c>
      <c r="C162" s="7" t="s">
        <v>330</v>
      </c>
      <c r="D162" s="7" t="s">
        <v>687</v>
      </c>
      <c r="E162" s="7" t="s">
        <v>687</v>
      </c>
      <c r="F162" s="7" t="s">
        <v>330</v>
      </c>
      <c r="G162" s="7" t="s">
        <v>331</v>
      </c>
      <c r="H162" s="8">
        <f>ROUND(SUMPRODUCT(SUMIF(Final!$G$4:$G$330,CashReserveLevy!D162:F162,Final!$C$4:$C$330)),0)</f>
        <v>40884095</v>
      </c>
      <c r="I162" s="8">
        <f t="shared" si="11"/>
        <v>8176819</v>
      </c>
      <c r="J162" s="8">
        <f>ROUND(SUMPRODUCT(SUMIF(Final!$G$4:$G$330,CashReserveLevy!D162:F162,Final!$E$4:$E$330)),0)</f>
        <v>9309617</v>
      </c>
      <c r="K162" s="8">
        <f t="shared" si="12"/>
        <v>0</v>
      </c>
      <c r="L162" s="8">
        <f>INDEX(ActualCRLevy_SAS!$A$2:$D$326,MATCH(CashReserveLevy!$C162,ActualCRLevy_SAS!$B$2:$B$326,0),4)</f>
        <v>0</v>
      </c>
      <c r="M162" s="31" t="str">
        <f t="shared" si="13"/>
        <v/>
      </c>
      <c r="N162" s="1" t="str">
        <f t="shared" si="14"/>
        <v/>
      </c>
      <c r="O162" s="1" t="str">
        <f t="shared" si="15"/>
        <v/>
      </c>
    </row>
    <row r="163" spans="1:15" x14ac:dyDescent="0.2">
      <c r="A163" s="7">
        <v>2026</v>
      </c>
      <c r="B163" s="7" t="s">
        <v>20</v>
      </c>
      <c r="C163" s="7" t="s">
        <v>332</v>
      </c>
      <c r="D163" s="7" t="s">
        <v>687</v>
      </c>
      <c r="E163" s="7" t="s">
        <v>687</v>
      </c>
      <c r="F163" s="7" t="s">
        <v>332</v>
      </c>
      <c r="G163" s="7" t="s">
        <v>333</v>
      </c>
      <c r="H163" s="8">
        <f>ROUND(SUMPRODUCT(SUMIF(Final!$G$4:$G$330,CashReserveLevy!D163:F163,Final!$C$4:$C$330)),0)</f>
        <v>104742032</v>
      </c>
      <c r="I163" s="8">
        <f t="shared" si="11"/>
        <v>20948406</v>
      </c>
      <c r="J163" s="8">
        <f>ROUND(SUMPRODUCT(SUMIF(Final!$G$4:$G$330,CashReserveLevy!D163:F163,Final!$E$4:$E$330)),0)</f>
        <v>6363582</v>
      </c>
      <c r="K163" s="8">
        <f t="shared" si="12"/>
        <v>14584824</v>
      </c>
      <c r="L163" s="8">
        <f>INDEX(ActualCRLevy_SAS!$A$2:$D$326,MATCH(CashReserveLevy!$C163,ActualCRLevy_SAS!$B$2:$B$326,0),4)</f>
        <v>10299069</v>
      </c>
      <c r="M163" s="31" t="str">
        <f t="shared" si="13"/>
        <v/>
      </c>
      <c r="N163" s="1" t="str">
        <f t="shared" si="14"/>
        <v/>
      </c>
      <c r="O163" s="1" t="str">
        <f t="shared" si="15"/>
        <v/>
      </c>
    </row>
    <row r="164" spans="1:15" x14ac:dyDescent="0.2">
      <c r="A164" s="7">
        <v>2026</v>
      </c>
      <c r="B164" s="7" t="s">
        <v>20</v>
      </c>
      <c r="C164" s="7" t="s">
        <v>334</v>
      </c>
      <c r="D164" s="7" t="s">
        <v>687</v>
      </c>
      <c r="E164" s="7" t="s">
        <v>687</v>
      </c>
      <c r="F164" s="7" t="s">
        <v>334</v>
      </c>
      <c r="G164" s="7" t="s">
        <v>335</v>
      </c>
      <c r="H164" s="8">
        <f>ROUND(SUMPRODUCT(SUMIF(Final!$G$4:$G$330,CashReserveLevy!D164:F164,Final!$C$4:$C$330)),0)</f>
        <v>10011955</v>
      </c>
      <c r="I164" s="8">
        <f t="shared" si="11"/>
        <v>2002391</v>
      </c>
      <c r="J164" s="8">
        <f>ROUND(SUMPRODUCT(SUMIF(Final!$G$4:$G$330,CashReserveLevy!D164:F164,Final!$E$4:$E$330)),0)</f>
        <v>771790</v>
      </c>
      <c r="K164" s="8">
        <f t="shared" si="12"/>
        <v>1230601</v>
      </c>
      <c r="L164" s="8">
        <f>INDEX(ActualCRLevy_SAS!$A$2:$D$326,MATCH(CashReserveLevy!$C164,ActualCRLevy_SAS!$B$2:$B$326,0),4)</f>
        <v>482379</v>
      </c>
      <c r="M164" s="31" t="str">
        <f t="shared" si="13"/>
        <v/>
      </c>
      <c r="N164" s="1" t="str">
        <f t="shared" si="14"/>
        <v/>
      </c>
      <c r="O164" s="1" t="str">
        <f t="shared" si="15"/>
        <v/>
      </c>
    </row>
    <row r="165" spans="1:15" x14ac:dyDescent="0.2">
      <c r="A165" s="7">
        <v>2026</v>
      </c>
      <c r="B165" s="7" t="s">
        <v>8</v>
      </c>
      <c r="C165" s="7" t="s">
        <v>336</v>
      </c>
      <c r="D165" s="7" t="s">
        <v>687</v>
      </c>
      <c r="E165" s="7" t="s">
        <v>687</v>
      </c>
      <c r="F165" s="7" t="s">
        <v>336</v>
      </c>
      <c r="G165" s="7" t="s">
        <v>337</v>
      </c>
      <c r="H165" s="8">
        <f>ROUND(SUMPRODUCT(SUMIF(Final!$G$4:$G$330,CashReserveLevy!D165:F165,Final!$C$4:$C$330)),0)</f>
        <v>10163819</v>
      </c>
      <c r="I165" s="8">
        <f t="shared" si="11"/>
        <v>2032764</v>
      </c>
      <c r="J165" s="8">
        <f>ROUND(SUMPRODUCT(SUMIF(Final!$G$4:$G$330,CashReserveLevy!D165:F165,Final!$E$4:$E$330)),0)</f>
        <v>1919447</v>
      </c>
      <c r="K165" s="8">
        <f t="shared" si="12"/>
        <v>113317</v>
      </c>
      <c r="L165" s="8">
        <f>INDEX(ActualCRLevy_SAS!$A$2:$D$326,MATCH(CashReserveLevy!$C165,ActualCRLevy_SAS!$B$2:$B$326,0),4)</f>
        <v>25000</v>
      </c>
      <c r="M165" s="31" t="str">
        <f t="shared" si="13"/>
        <v/>
      </c>
      <c r="N165" s="1" t="str">
        <f t="shared" si="14"/>
        <v/>
      </c>
      <c r="O165" s="1" t="str">
        <f t="shared" si="15"/>
        <v/>
      </c>
    </row>
    <row r="166" spans="1:15" x14ac:dyDescent="0.2">
      <c r="A166" s="7">
        <v>2026</v>
      </c>
      <c r="B166" s="7" t="s">
        <v>20</v>
      </c>
      <c r="C166" s="7" t="s">
        <v>338</v>
      </c>
      <c r="D166" s="7" t="s">
        <v>687</v>
      </c>
      <c r="E166" s="7" t="s">
        <v>687</v>
      </c>
      <c r="F166" s="7" t="s">
        <v>338</v>
      </c>
      <c r="G166" s="7" t="s">
        <v>339</v>
      </c>
      <c r="H166" s="8">
        <f>ROUND(SUMPRODUCT(SUMIF(Final!$G$4:$G$330,CashReserveLevy!D166:F166,Final!$C$4:$C$330)),0)</f>
        <v>5389184</v>
      </c>
      <c r="I166" s="8">
        <f t="shared" si="11"/>
        <v>1077837</v>
      </c>
      <c r="J166" s="8">
        <f>ROUND(SUMPRODUCT(SUMIF(Final!$G$4:$G$330,CashReserveLevy!D166:F166,Final!$E$4:$E$330)),0)</f>
        <v>1302972</v>
      </c>
      <c r="K166" s="8">
        <f t="shared" si="12"/>
        <v>0</v>
      </c>
      <c r="L166" s="8">
        <f>INDEX(ActualCRLevy_SAS!$A$2:$D$326,MATCH(CashReserveLevy!$C166,ActualCRLevy_SAS!$B$2:$B$326,0),4)</f>
        <v>0</v>
      </c>
      <c r="M166" s="31" t="str">
        <f t="shared" si="13"/>
        <v/>
      </c>
      <c r="N166" s="1" t="str">
        <f t="shared" si="14"/>
        <v/>
      </c>
      <c r="O166" s="1" t="str">
        <f t="shared" si="15"/>
        <v/>
      </c>
    </row>
    <row r="167" spans="1:15" x14ac:dyDescent="0.2">
      <c r="A167" s="7">
        <v>2026</v>
      </c>
      <c r="B167" s="7" t="s">
        <v>37</v>
      </c>
      <c r="C167" s="7" t="s">
        <v>340</v>
      </c>
      <c r="D167" s="7" t="s">
        <v>687</v>
      </c>
      <c r="E167" s="7" t="s">
        <v>687</v>
      </c>
      <c r="F167" s="7" t="s">
        <v>340</v>
      </c>
      <c r="G167" s="7" t="s">
        <v>341</v>
      </c>
      <c r="H167" s="8">
        <f>ROUND(SUMPRODUCT(SUMIF(Final!$G$4:$G$330,CashReserveLevy!D167:F167,Final!$C$4:$C$330)),0)</f>
        <v>11009052</v>
      </c>
      <c r="I167" s="8">
        <f t="shared" si="11"/>
        <v>2201810</v>
      </c>
      <c r="J167" s="8">
        <f>ROUND(SUMPRODUCT(SUMIF(Final!$G$4:$G$330,CashReserveLevy!D167:F167,Final!$E$4:$E$330)),0)</f>
        <v>1921292</v>
      </c>
      <c r="K167" s="8">
        <f t="shared" si="12"/>
        <v>280518</v>
      </c>
      <c r="L167" s="8">
        <f>INDEX(ActualCRLevy_SAS!$A$2:$D$326,MATCH(CashReserveLevy!$C167,ActualCRLevy_SAS!$B$2:$B$326,0),4)</f>
        <v>280518</v>
      </c>
      <c r="M167" s="31" t="str">
        <f t="shared" si="13"/>
        <v>Max</v>
      </c>
      <c r="N167" s="1" t="str">
        <f t="shared" si="14"/>
        <v/>
      </c>
      <c r="O167" s="1" t="str">
        <f t="shared" si="15"/>
        <v/>
      </c>
    </row>
    <row r="168" spans="1:15" x14ac:dyDescent="0.2">
      <c r="A168" s="7">
        <v>2026</v>
      </c>
      <c r="B168" s="7" t="s">
        <v>0</v>
      </c>
      <c r="C168" s="7" t="s">
        <v>343</v>
      </c>
      <c r="D168" s="7" t="s">
        <v>687</v>
      </c>
      <c r="E168" s="7" t="s">
        <v>687</v>
      </c>
      <c r="F168" s="7" t="s">
        <v>343</v>
      </c>
      <c r="G168" s="7" t="s">
        <v>344</v>
      </c>
      <c r="H168" s="8">
        <f>ROUND(SUMPRODUCT(SUMIF(Final!$G$4:$G$330,CashReserveLevy!D168:F168,Final!$C$4:$C$330)),0)</f>
        <v>6688071</v>
      </c>
      <c r="I168" s="8">
        <f t="shared" si="11"/>
        <v>1337614</v>
      </c>
      <c r="J168" s="8">
        <f>ROUND(SUMPRODUCT(SUMIF(Final!$G$4:$G$330,CashReserveLevy!D168:F168,Final!$E$4:$E$330)),0)</f>
        <v>1627341</v>
      </c>
      <c r="K168" s="8">
        <f t="shared" si="12"/>
        <v>0</v>
      </c>
      <c r="L168" s="8">
        <f>INDEX(ActualCRLevy_SAS!$A$2:$D$326,MATCH(CashReserveLevy!$C168,ActualCRLevy_SAS!$B$2:$B$326,0),4)</f>
        <v>0</v>
      </c>
      <c r="M168" s="31" t="str">
        <f t="shared" si="13"/>
        <v/>
      </c>
      <c r="N168" s="1" t="str">
        <f t="shared" si="14"/>
        <v/>
      </c>
      <c r="O168" s="1" t="str">
        <f t="shared" si="15"/>
        <v/>
      </c>
    </row>
    <row r="169" spans="1:15" x14ac:dyDescent="0.2">
      <c r="A169" s="7">
        <v>2026</v>
      </c>
      <c r="B169" s="7" t="s">
        <v>0</v>
      </c>
      <c r="C169" s="7" t="s">
        <v>345</v>
      </c>
      <c r="D169" s="7" t="s">
        <v>687</v>
      </c>
      <c r="E169" s="7" t="s">
        <v>687</v>
      </c>
      <c r="F169" s="7" t="s">
        <v>345</v>
      </c>
      <c r="G169" s="7" t="s">
        <v>346</v>
      </c>
      <c r="H169" s="8">
        <f>ROUND(SUMPRODUCT(SUMIF(Final!$G$4:$G$330,CashReserveLevy!D169:F169,Final!$C$4:$C$330)),0)</f>
        <v>8104153</v>
      </c>
      <c r="I169" s="8">
        <f t="shared" si="11"/>
        <v>1620831</v>
      </c>
      <c r="J169" s="8">
        <f>ROUND(SUMPRODUCT(SUMIF(Final!$G$4:$G$330,CashReserveLevy!D169:F169,Final!$E$4:$E$330)),0)</f>
        <v>936881</v>
      </c>
      <c r="K169" s="8">
        <f t="shared" si="12"/>
        <v>683950</v>
      </c>
      <c r="L169" s="8">
        <f>INDEX(ActualCRLevy_SAS!$A$2:$D$326,MATCH(CashReserveLevy!$C169,ActualCRLevy_SAS!$B$2:$B$326,0),4)</f>
        <v>656500</v>
      </c>
      <c r="M169" s="31" t="str">
        <f t="shared" si="13"/>
        <v/>
      </c>
      <c r="N169" s="1" t="str">
        <f t="shared" si="14"/>
        <v/>
      </c>
      <c r="O169" s="1" t="str">
        <f t="shared" si="15"/>
        <v/>
      </c>
    </row>
    <row r="170" spans="1:15" x14ac:dyDescent="0.2">
      <c r="A170" s="7">
        <v>2026</v>
      </c>
      <c r="B170" s="7" t="s">
        <v>14</v>
      </c>
      <c r="C170" s="7" t="s">
        <v>347</v>
      </c>
      <c r="D170" s="7" t="s">
        <v>687</v>
      </c>
      <c r="E170" s="7" t="s">
        <v>687</v>
      </c>
      <c r="F170" s="7" t="s">
        <v>347</v>
      </c>
      <c r="G170" s="7" t="s">
        <v>348</v>
      </c>
      <c r="H170" s="8">
        <f>ROUND(SUMPRODUCT(SUMIF(Final!$G$4:$G$330,CashReserveLevy!D170:F170,Final!$C$4:$C$330)),0)</f>
        <v>9691166</v>
      </c>
      <c r="I170" s="8">
        <f t="shared" si="11"/>
        <v>1938233</v>
      </c>
      <c r="J170" s="8">
        <f>ROUND(SUMPRODUCT(SUMIF(Final!$G$4:$G$330,CashReserveLevy!D170:F170,Final!$E$4:$E$330)),0)</f>
        <v>3699158</v>
      </c>
      <c r="K170" s="8">
        <f t="shared" si="12"/>
        <v>0</v>
      </c>
      <c r="L170" s="8">
        <f>INDEX(ActualCRLevy_SAS!$A$2:$D$326,MATCH(CashReserveLevy!$C170,ActualCRLevy_SAS!$B$2:$B$326,0),4)</f>
        <v>0</v>
      </c>
      <c r="M170" s="31" t="str">
        <f t="shared" si="13"/>
        <v/>
      </c>
      <c r="N170" s="1" t="str">
        <f t="shared" si="14"/>
        <v/>
      </c>
      <c r="O170" s="1" t="str">
        <f t="shared" si="15"/>
        <v/>
      </c>
    </row>
    <row r="171" spans="1:15" x14ac:dyDescent="0.2">
      <c r="A171" s="7">
        <v>2026</v>
      </c>
      <c r="B171" s="7" t="s">
        <v>11</v>
      </c>
      <c r="C171" s="7" t="s">
        <v>349</v>
      </c>
      <c r="D171" s="7" t="s">
        <v>687</v>
      </c>
      <c r="E171" s="7" t="s">
        <v>687</v>
      </c>
      <c r="F171" s="7" t="s">
        <v>349</v>
      </c>
      <c r="G171" s="7" t="s">
        <v>350</v>
      </c>
      <c r="H171" s="8">
        <f>ROUND(SUMPRODUCT(SUMIF(Final!$G$4:$G$330,CashReserveLevy!D171:F171,Final!$C$4:$C$330)),0)</f>
        <v>9952860</v>
      </c>
      <c r="I171" s="8">
        <f t="shared" si="11"/>
        <v>1990572</v>
      </c>
      <c r="J171" s="8">
        <f>ROUND(SUMPRODUCT(SUMIF(Final!$G$4:$G$330,CashReserveLevy!D171:F171,Final!$E$4:$E$330)),0)</f>
        <v>1096132</v>
      </c>
      <c r="K171" s="8">
        <f t="shared" si="12"/>
        <v>894440</v>
      </c>
      <c r="L171" s="8">
        <f>INDEX(ActualCRLevy_SAS!$A$2:$D$326,MATCH(CashReserveLevy!$C171,ActualCRLevy_SAS!$B$2:$B$326,0),4)</f>
        <v>640000</v>
      </c>
      <c r="M171" s="31" t="str">
        <f t="shared" si="13"/>
        <v/>
      </c>
      <c r="N171" s="1" t="str">
        <f t="shared" si="14"/>
        <v/>
      </c>
      <c r="O171" s="1" t="str">
        <f t="shared" si="15"/>
        <v/>
      </c>
    </row>
    <row r="172" spans="1:15" x14ac:dyDescent="0.2">
      <c r="A172" s="7">
        <v>2026</v>
      </c>
      <c r="B172" s="7" t="s">
        <v>37</v>
      </c>
      <c r="C172" s="7" t="s">
        <v>351</v>
      </c>
      <c r="D172" s="7" t="s">
        <v>687</v>
      </c>
      <c r="E172" s="7" t="s">
        <v>687</v>
      </c>
      <c r="F172" s="7" t="s">
        <v>351</v>
      </c>
      <c r="G172" s="7" t="s">
        <v>352</v>
      </c>
      <c r="H172" s="8">
        <f>ROUND(SUMPRODUCT(SUMIF(Final!$G$4:$G$330,CashReserveLevy!D172:F172,Final!$C$4:$C$330)),0)</f>
        <v>21290877</v>
      </c>
      <c r="I172" s="8">
        <f t="shared" si="11"/>
        <v>4258175</v>
      </c>
      <c r="J172" s="8">
        <f>ROUND(SUMPRODUCT(SUMIF(Final!$G$4:$G$330,CashReserveLevy!D172:F172,Final!$E$4:$E$330)),0)</f>
        <v>4135026</v>
      </c>
      <c r="K172" s="8">
        <f t="shared" si="12"/>
        <v>123149</v>
      </c>
      <c r="L172" s="8">
        <f>INDEX(ActualCRLevy_SAS!$A$2:$D$326,MATCH(CashReserveLevy!$C172,ActualCRLevy_SAS!$B$2:$B$326,0),4)</f>
        <v>123149</v>
      </c>
      <c r="M172" s="31" t="str">
        <f t="shared" si="13"/>
        <v>Max</v>
      </c>
      <c r="N172" s="1" t="str">
        <f t="shared" si="14"/>
        <v/>
      </c>
      <c r="O172" s="1" t="str">
        <f t="shared" si="15"/>
        <v/>
      </c>
    </row>
    <row r="173" spans="1:15" x14ac:dyDescent="0.2">
      <c r="A173" s="7">
        <v>2026</v>
      </c>
      <c r="B173" s="7" t="s">
        <v>28</v>
      </c>
      <c r="C173" s="7" t="s">
        <v>353</v>
      </c>
      <c r="D173" s="7" t="s">
        <v>687</v>
      </c>
      <c r="E173" s="7" t="s">
        <v>687</v>
      </c>
      <c r="F173" s="7" t="s">
        <v>353</v>
      </c>
      <c r="G173" s="7" t="s">
        <v>354</v>
      </c>
      <c r="H173" s="8">
        <f>ROUND(SUMPRODUCT(SUMIF(Final!$G$4:$G$330,CashReserveLevy!D173:F173,Final!$C$4:$C$330)),0)</f>
        <v>9505729</v>
      </c>
      <c r="I173" s="8">
        <f t="shared" si="11"/>
        <v>1901146</v>
      </c>
      <c r="J173" s="8">
        <f>ROUND(SUMPRODUCT(SUMIF(Final!$G$4:$G$330,CashReserveLevy!D173:F173,Final!$E$4:$E$330)),0)</f>
        <v>3448035</v>
      </c>
      <c r="K173" s="8">
        <f t="shared" si="12"/>
        <v>0</v>
      </c>
      <c r="L173" s="8">
        <f>INDEX(ActualCRLevy_SAS!$A$2:$D$326,MATCH(CashReserveLevy!$C173,ActualCRLevy_SAS!$B$2:$B$326,0),4)</f>
        <v>0</v>
      </c>
      <c r="M173" s="31" t="str">
        <f t="shared" si="13"/>
        <v/>
      </c>
      <c r="N173" s="1" t="str">
        <f t="shared" si="14"/>
        <v/>
      </c>
      <c r="O173" s="1" t="str">
        <f t="shared" si="15"/>
        <v/>
      </c>
    </row>
    <row r="174" spans="1:15" x14ac:dyDescent="0.2">
      <c r="A174" s="7">
        <v>2026</v>
      </c>
      <c r="B174" s="7" t="s">
        <v>11</v>
      </c>
      <c r="C174" s="7" t="s">
        <v>355</v>
      </c>
      <c r="D174" s="7" t="s">
        <v>687</v>
      </c>
      <c r="E174" s="7" t="s">
        <v>687</v>
      </c>
      <c r="F174" s="7" t="s">
        <v>355</v>
      </c>
      <c r="G174" s="7" t="s">
        <v>356</v>
      </c>
      <c r="H174" s="8">
        <f>ROUND(SUMPRODUCT(SUMIF(Final!$G$4:$G$330,CashReserveLevy!D174:F174,Final!$C$4:$C$330)),0)</f>
        <v>7691189</v>
      </c>
      <c r="I174" s="8">
        <f t="shared" si="11"/>
        <v>1538238</v>
      </c>
      <c r="J174" s="8">
        <f>ROUND(SUMPRODUCT(SUMIF(Final!$G$4:$G$330,CashReserveLevy!D174:F174,Final!$E$4:$E$330)),0)</f>
        <v>-71230</v>
      </c>
      <c r="K174" s="8">
        <f t="shared" si="12"/>
        <v>1609468</v>
      </c>
      <c r="L174" s="8">
        <f>INDEX(ActualCRLevy_SAS!$A$2:$D$326,MATCH(CashReserveLevy!$C174,ActualCRLevy_SAS!$B$2:$B$326,0),4)</f>
        <v>270000</v>
      </c>
      <c r="M174" s="31" t="str">
        <f t="shared" si="13"/>
        <v/>
      </c>
      <c r="N174" s="1" t="str">
        <f t="shared" si="14"/>
        <v/>
      </c>
      <c r="O174" s="1" t="str">
        <f t="shared" si="15"/>
        <v/>
      </c>
    </row>
    <row r="175" spans="1:15" x14ac:dyDescent="0.2">
      <c r="A175" s="7">
        <v>2026</v>
      </c>
      <c r="B175" s="7" t="s">
        <v>20</v>
      </c>
      <c r="C175" s="7" t="s">
        <v>357</v>
      </c>
      <c r="D175" s="7" t="s">
        <v>687</v>
      </c>
      <c r="E175" s="7" t="s">
        <v>687</v>
      </c>
      <c r="F175" s="7" t="s">
        <v>357</v>
      </c>
      <c r="G175" s="7" t="s">
        <v>358</v>
      </c>
      <c r="H175" s="8">
        <f>ROUND(SUMPRODUCT(SUMIF(Final!$G$4:$G$330,CashReserveLevy!D175:F175,Final!$C$4:$C$330)),0)</f>
        <v>33674531</v>
      </c>
      <c r="I175" s="8">
        <f t="shared" si="11"/>
        <v>6734906</v>
      </c>
      <c r="J175" s="8">
        <f>ROUND(SUMPRODUCT(SUMIF(Final!$G$4:$G$330,CashReserveLevy!D175:F175,Final!$E$4:$E$330)),0)</f>
        <v>6284791</v>
      </c>
      <c r="K175" s="8">
        <f t="shared" si="12"/>
        <v>450115</v>
      </c>
      <c r="L175" s="8">
        <f>INDEX(ActualCRLevy_SAS!$A$2:$D$326,MATCH(CashReserveLevy!$C175,ActualCRLevy_SAS!$B$2:$B$326,0),4)</f>
        <v>125000</v>
      </c>
      <c r="M175" s="31" t="str">
        <f t="shared" si="13"/>
        <v/>
      </c>
      <c r="N175" s="1" t="str">
        <f t="shared" si="14"/>
        <v/>
      </c>
      <c r="O175" s="1" t="str">
        <f t="shared" si="15"/>
        <v/>
      </c>
    </row>
    <row r="176" spans="1:15" x14ac:dyDescent="0.2">
      <c r="A176" s="7">
        <v>2026</v>
      </c>
      <c r="B176" s="7" t="s">
        <v>5</v>
      </c>
      <c r="C176" s="7" t="s">
        <v>359</v>
      </c>
      <c r="D176" s="7" t="s">
        <v>687</v>
      </c>
      <c r="E176" s="7" t="s">
        <v>687</v>
      </c>
      <c r="F176" s="7" t="s">
        <v>359</v>
      </c>
      <c r="G176" s="7" t="s">
        <v>360</v>
      </c>
      <c r="H176" s="8">
        <f>ROUND(SUMPRODUCT(SUMIF(Final!$G$4:$G$330,CashReserveLevy!D176:F176,Final!$C$4:$C$330)),0)</f>
        <v>75951582</v>
      </c>
      <c r="I176" s="8">
        <f t="shared" si="11"/>
        <v>15190316</v>
      </c>
      <c r="J176" s="8">
        <f>ROUND(SUMPRODUCT(SUMIF(Final!$G$4:$G$330,CashReserveLevy!D176:F176,Final!$E$4:$E$330)),0)</f>
        <v>16006516</v>
      </c>
      <c r="K176" s="8">
        <f t="shared" si="12"/>
        <v>0</v>
      </c>
      <c r="L176" s="8">
        <f>INDEX(ActualCRLevy_SAS!$A$2:$D$326,MATCH(CashReserveLevy!$C176,ActualCRLevy_SAS!$B$2:$B$326,0),4)</f>
        <v>0</v>
      </c>
      <c r="M176" s="31" t="str">
        <f t="shared" si="13"/>
        <v/>
      </c>
      <c r="N176" s="1" t="str">
        <f t="shared" si="14"/>
        <v/>
      </c>
      <c r="O176" s="1" t="str">
        <f t="shared" si="15"/>
        <v/>
      </c>
    </row>
    <row r="177" spans="1:15" x14ac:dyDescent="0.2">
      <c r="A177" s="7">
        <v>2026</v>
      </c>
      <c r="B177" s="7" t="s">
        <v>0</v>
      </c>
      <c r="C177" s="7" t="s">
        <v>361</v>
      </c>
      <c r="D177" s="7" t="s">
        <v>687</v>
      </c>
      <c r="E177" s="7" t="s">
        <v>687</v>
      </c>
      <c r="F177" s="7" t="s">
        <v>361</v>
      </c>
      <c r="G177" s="7" t="s">
        <v>362</v>
      </c>
      <c r="H177" s="8">
        <f>ROUND(SUMPRODUCT(SUMIF(Final!$G$4:$G$330,CashReserveLevy!D177:F177,Final!$C$4:$C$330)),0)</f>
        <v>7144332</v>
      </c>
      <c r="I177" s="8">
        <f t="shared" si="11"/>
        <v>1428866</v>
      </c>
      <c r="J177" s="8">
        <f>ROUND(SUMPRODUCT(SUMIF(Final!$G$4:$G$330,CashReserveLevy!D177:F177,Final!$E$4:$E$330)),0)</f>
        <v>2144290</v>
      </c>
      <c r="K177" s="8">
        <f t="shared" si="12"/>
        <v>0</v>
      </c>
      <c r="L177" s="8">
        <f>INDEX(ActualCRLevy_SAS!$A$2:$D$326,MATCH(CashReserveLevy!$C177,ActualCRLevy_SAS!$B$2:$B$326,0),4)</f>
        <v>0</v>
      </c>
      <c r="M177" s="31" t="str">
        <f t="shared" si="13"/>
        <v/>
      </c>
      <c r="N177" s="1" t="str">
        <f t="shared" si="14"/>
        <v/>
      </c>
      <c r="O177" s="1" t="str">
        <f t="shared" si="15"/>
        <v/>
      </c>
    </row>
    <row r="178" spans="1:15" x14ac:dyDescent="0.2">
      <c r="A178" s="7">
        <v>2026</v>
      </c>
      <c r="B178" s="7" t="s">
        <v>5</v>
      </c>
      <c r="C178" s="7" t="s">
        <v>363</v>
      </c>
      <c r="D178" s="7" t="s">
        <v>687</v>
      </c>
      <c r="E178" s="7" t="s">
        <v>687</v>
      </c>
      <c r="F178" s="7" t="s">
        <v>363</v>
      </c>
      <c r="G178" s="7" t="s">
        <v>364</v>
      </c>
      <c r="H178" s="8">
        <f>ROUND(SUMPRODUCT(SUMIF(Final!$G$4:$G$330,CashReserveLevy!D178:F178,Final!$C$4:$C$330)),0)</f>
        <v>55059927</v>
      </c>
      <c r="I178" s="8">
        <f t="shared" si="11"/>
        <v>11011985</v>
      </c>
      <c r="J178" s="8">
        <f>ROUND(SUMPRODUCT(SUMIF(Final!$G$4:$G$330,CashReserveLevy!D178:F178,Final!$E$4:$E$330)),0)</f>
        <v>10811001</v>
      </c>
      <c r="K178" s="8">
        <f t="shared" si="12"/>
        <v>200984</v>
      </c>
      <c r="L178" s="8">
        <f>INDEX(ActualCRLevy_SAS!$A$2:$D$326,MATCH(CashReserveLevy!$C178,ActualCRLevy_SAS!$B$2:$B$326,0),4)</f>
        <v>200984</v>
      </c>
      <c r="M178" s="31" t="str">
        <f t="shared" si="13"/>
        <v>Max</v>
      </c>
      <c r="N178" s="1" t="str">
        <f t="shared" si="14"/>
        <v/>
      </c>
      <c r="O178" s="1" t="str">
        <f t="shared" si="15"/>
        <v/>
      </c>
    </row>
    <row r="179" spans="1:15" x14ac:dyDescent="0.2">
      <c r="A179" s="7">
        <v>2026</v>
      </c>
      <c r="B179" s="7" t="s">
        <v>17</v>
      </c>
      <c r="C179" s="7" t="s">
        <v>365</v>
      </c>
      <c r="D179" s="7" t="s">
        <v>687</v>
      </c>
      <c r="E179" s="7" t="s">
        <v>687</v>
      </c>
      <c r="F179" s="7" t="s">
        <v>365</v>
      </c>
      <c r="G179" s="7" t="s">
        <v>366</v>
      </c>
      <c r="H179" s="8">
        <f>ROUND(SUMPRODUCT(SUMIF(Final!$G$4:$G$330,CashReserveLevy!D179:F179,Final!$C$4:$C$330)),0)</f>
        <v>11694579</v>
      </c>
      <c r="I179" s="8">
        <f t="shared" si="11"/>
        <v>2338916</v>
      </c>
      <c r="J179" s="8">
        <f>ROUND(SUMPRODUCT(SUMIF(Final!$G$4:$G$330,CashReserveLevy!D179:F179,Final!$E$4:$E$330)),0)</f>
        <v>3466876</v>
      </c>
      <c r="K179" s="8">
        <f t="shared" si="12"/>
        <v>0</v>
      </c>
      <c r="L179" s="8">
        <f>INDEX(ActualCRLevy_SAS!$A$2:$D$326,MATCH(CashReserveLevy!$C179,ActualCRLevy_SAS!$B$2:$B$326,0),4)</f>
        <v>0</v>
      </c>
      <c r="M179" s="31" t="str">
        <f t="shared" si="13"/>
        <v/>
      </c>
      <c r="N179" s="1" t="str">
        <f t="shared" si="14"/>
        <v/>
      </c>
      <c r="O179" s="1" t="str">
        <f t="shared" si="15"/>
        <v/>
      </c>
    </row>
    <row r="180" spans="1:15" x14ac:dyDescent="0.2">
      <c r="A180" s="7">
        <v>2026</v>
      </c>
      <c r="B180" s="7" t="s">
        <v>0</v>
      </c>
      <c r="C180" s="7" t="s">
        <v>367</v>
      </c>
      <c r="D180" s="7" t="s">
        <v>687</v>
      </c>
      <c r="E180" s="7" t="s">
        <v>687</v>
      </c>
      <c r="F180" s="7" t="s">
        <v>367</v>
      </c>
      <c r="G180" s="7" t="s">
        <v>368</v>
      </c>
      <c r="H180" s="8">
        <f>ROUND(SUMPRODUCT(SUMIF(Final!$G$4:$G$330,CashReserveLevy!D180:F180,Final!$C$4:$C$330)),0)</f>
        <v>4505556</v>
      </c>
      <c r="I180" s="8">
        <f t="shared" si="11"/>
        <v>901111</v>
      </c>
      <c r="J180" s="8">
        <f>ROUND(SUMPRODUCT(SUMIF(Final!$G$4:$G$330,CashReserveLevy!D180:F180,Final!$E$4:$E$330)),0)</f>
        <v>1866748</v>
      </c>
      <c r="K180" s="8">
        <f t="shared" si="12"/>
        <v>0</v>
      </c>
      <c r="L180" s="8">
        <f>INDEX(ActualCRLevy_SAS!$A$2:$D$326,MATCH(CashReserveLevy!$C180,ActualCRLevy_SAS!$B$2:$B$326,0),4)</f>
        <v>0</v>
      </c>
      <c r="M180" s="31" t="str">
        <f t="shared" si="13"/>
        <v/>
      </c>
      <c r="N180" s="1" t="str">
        <f t="shared" si="14"/>
        <v/>
      </c>
      <c r="O180" s="1" t="str">
        <f t="shared" si="15"/>
        <v/>
      </c>
    </row>
    <row r="181" spans="1:15" x14ac:dyDescent="0.2">
      <c r="A181" s="7">
        <v>2026</v>
      </c>
      <c r="B181" s="7" t="s">
        <v>28</v>
      </c>
      <c r="C181" s="7" t="s">
        <v>369</v>
      </c>
      <c r="D181" s="7" t="s">
        <v>687</v>
      </c>
      <c r="E181" s="7" t="s">
        <v>687</v>
      </c>
      <c r="F181" s="7" t="s">
        <v>369</v>
      </c>
      <c r="G181" s="7" t="s">
        <v>370</v>
      </c>
      <c r="H181" s="8">
        <f>ROUND(SUMPRODUCT(SUMIF(Final!$G$4:$G$330,CashReserveLevy!D181:F181,Final!$C$4:$C$330)),0)</f>
        <v>10979555</v>
      </c>
      <c r="I181" s="8">
        <f t="shared" si="11"/>
        <v>2195911</v>
      </c>
      <c r="J181" s="8">
        <f>ROUND(SUMPRODUCT(SUMIF(Final!$G$4:$G$330,CashReserveLevy!D181:F181,Final!$E$4:$E$330)),0)</f>
        <v>2690451</v>
      </c>
      <c r="K181" s="8">
        <f t="shared" si="12"/>
        <v>0</v>
      </c>
      <c r="L181" s="8">
        <f>INDEX(ActualCRLevy_SAS!$A$2:$D$326,MATCH(CashReserveLevy!$C181,ActualCRLevy_SAS!$B$2:$B$326,0),4)</f>
        <v>0</v>
      </c>
      <c r="M181" s="31" t="str">
        <f t="shared" si="13"/>
        <v/>
      </c>
      <c r="N181" s="1" t="str">
        <f t="shared" si="14"/>
        <v/>
      </c>
      <c r="O181" s="1" t="str">
        <f t="shared" si="15"/>
        <v/>
      </c>
    </row>
    <row r="182" spans="1:15" x14ac:dyDescent="0.2">
      <c r="A182" s="7">
        <v>2026</v>
      </c>
      <c r="B182" s="7" t="s">
        <v>20</v>
      </c>
      <c r="C182" s="7" t="s">
        <v>371</v>
      </c>
      <c r="D182" s="7" t="s">
        <v>687</v>
      </c>
      <c r="E182" s="7" t="s">
        <v>687</v>
      </c>
      <c r="F182" s="7" t="s">
        <v>371</v>
      </c>
      <c r="G182" s="7" t="s">
        <v>372</v>
      </c>
      <c r="H182" s="8">
        <f>ROUND(SUMPRODUCT(SUMIF(Final!$G$4:$G$330,CashReserveLevy!D182:F182,Final!$C$4:$C$330)),0)</f>
        <v>8095732</v>
      </c>
      <c r="I182" s="8">
        <f t="shared" si="11"/>
        <v>1619146</v>
      </c>
      <c r="J182" s="8">
        <f>ROUND(SUMPRODUCT(SUMIF(Final!$G$4:$G$330,CashReserveLevy!D182:F182,Final!$E$4:$E$330)),0)</f>
        <v>460821</v>
      </c>
      <c r="K182" s="8">
        <f t="shared" si="12"/>
        <v>1158325</v>
      </c>
      <c r="L182" s="8">
        <f>INDEX(ActualCRLevy_SAS!$A$2:$D$326,MATCH(CashReserveLevy!$C182,ActualCRLevy_SAS!$B$2:$B$326,0),4)</f>
        <v>880000</v>
      </c>
      <c r="M182" s="31" t="str">
        <f t="shared" si="13"/>
        <v/>
      </c>
      <c r="N182" s="1" t="str">
        <f t="shared" si="14"/>
        <v/>
      </c>
      <c r="O182" s="1" t="str">
        <f t="shared" si="15"/>
        <v/>
      </c>
    </row>
    <row r="183" spans="1:15" x14ac:dyDescent="0.2">
      <c r="A183" s="7">
        <v>2026</v>
      </c>
      <c r="B183" s="7" t="s">
        <v>20</v>
      </c>
      <c r="C183" s="7" t="s">
        <v>373</v>
      </c>
      <c r="D183" s="7" t="s">
        <v>687</v>
      </c>
      <c r="E183" s="7" t="s">
        <v>687</v>
      </c>
      <c r="F183" s="7" t="s">
        <v>373</v>
      </c>
      <c r="G183" s="7" t="s">
        <v>374</v>
      </c>
      <c r="H183" s="8">
        <f>ROUND(SUMPRODUCT(SUMIF(Final!$G$4:$G$330,CashReserveLevy!D183:F183,Final!$C$4:$C$330)),0)</f>
        <v>19149730</v>
      </c>
      <c r="I183" s="8">
        <f t="shared" si="11"/>
        <v>3829946</v>
      </c>
      <c r="J183" s="8">
        <f>ROUND(SUMPRODUCT(SUMIF(Final!$G$4:$G$330,CashReserveLevy!D183:F183,Final!$E$4:$E$330)),0)</f>
        <v>5049417</v>
      </c>
      <c r="K183" s="8">
        <f t="shared" si="12"/>
        <v>0</v>
      </c>
      <c r="L183" s="8">
        <f>INDEX(ActualCRLevy_SAS!$A$2:$D$326,MATCH(CashReserveLevy!$C183,ActualCRLevy_SAS!$B$2:$B$326,0),4)</f>
        <v>0</v>
      </c>
      <c r="M183" s="31" t="str">
        <f t="shared" si="13"/>
        <v/>
      </c>
      <c r="N183" s="1" t="str">
        <f t="shared" si="14"/>
        <v/>
      </c>
      <c r="O183" s="1" t="str">
        <f t="shared" si="15"/>
        <v/>
      </c>
    </row>
    <row r="184" spans="1:15" x14ac:dyDescent="0.2">
      <c r="A184" s="7">
        <v>2026</v>
      </c>
      <c r="B184" s="7" t="s">
        <v>8</v>
      </c>
      <c r="C184" s="7" t="s">
        <v>375</v>
      </c>
      <c r="D184" s="7" t="s">
        <v>687</v>
      </c>
      <c r="E184" s="7" t="s">
        <v>687</v>
      </c>
      <c r="F184" s="7" t="s">
        <v>375</v>
      </c>
      <c r="G184" s="7" t="s">
        <v>376</v>
      </c>
      <c r="H184" s="8">
        <f>ROUND(SUMPRODUCT(SUMIF(Final!$G$4:$G$330,CashReserveLevy!D184:F184,Final!$C$4:$C$330)),0)</f>
        <v>10368840</v>
      </c>
      <c r="I184" s="8">
        <f t="shared" si="11"/>
        <v>2073768</v>
      </c>
      <c r="J184" s="8">
        <f>ROUND(SUMPRODUCT(SUMIF(Final!$G$4:$G$330,CashReserveLevy!D184:F184,Final!$E$4:$E$330)),0)</f>
        <v>1525279</v>
      </c>
      <c r="K184" s="8">
        <f t="shared" si="12"/>
        <v>548489</v>
      </c>
      <c r="L184" s="8">
        <f>INDEX(ActualCRLevy_SAS!$A$2:$D$326,MATCH(CashReserveLevy!$C184,ActualCRLevy_SAS!$B$2:$B$326,0),4)</f>
        <v>410000</v>
      </c>
      <c r="M184" s="31" t="str">
        <f t="shared" si="13"/>
        <v/>
      </c>
      <c r="N184" s="1" t="str">
        <f t="shared" si="14"/>
        <v/>
      </c>
      <c r="O184" s="1" t="str">
        <f t="shared" si="15"/>
        <v/>
      </c>
    </row>
    <row r="185" spans="1:15" x14ac:dyDescent="0.2">
      <c r="A185" s="7">
        <v>2026</v>
      </c>
      <c r="B185" s="7" t="s">
        <v>11</v>
      </c>
      <c r="C185" s="7" t="s">
        <v>377</v>
      </c>
      <c r="D185" s="7" t="s">
        <v>687</v>
      </c>
      <c r="E185" s="7" t="s">
        <v>687</v>
      </c>
      <c r="F185" s="7" t="s">
        <v>377</v>
      </c>
      <c r="G185" s="7" t="s">
        <v>378</v>
      </c>
      <c r="H185" s="8">
        <f>ROUND(SUMPRODUCT(SUMIF(Final!$G$4:$G$330,CashReserveLevy!D185:F185,Final!$C$4:$C$330)),0)</f>
        <v>20084659</v>
      </c>
      <c r="I185" s="8">
        <f t="shared" si="11"/>
        <v>4016932</v>
      </c>
      <c r="J185" s="8">
        <f>ROUND(SUMPRODUCT(SUMIF(Final!$G$4:$G$330,CashReserveLevy!D185:F185,Final!$E$4:$E$330)),0)</f>
        <v>3849618</v>
      </c>
      <c r="K185" s="8">
        <f t="shared" si="12"/>
        <v>167314</v>
      </c>
      <c r="L185" s="8">
        <f>INDEX(ActualCRLevy_SAS!$A$2:$D$326,MATCH(CashReserveLevy!$C185,ActualCRLevy_SAS!$B$2:$B$326,0),4)</f>
        <v>167314</v>
      </c>
      <c r="M185" s="31" t="str">
        <f t="shared" si="13"/>
        <v>Max</v>
      </c>
      <c r="N185" s="1" t="str">
        <f t="shared" si="14"/>
        <v/>
      </c>
      <c r="O185" s="1" t="str">
        <f t="shared" si="15"/>
        <v/>
      </c>
    </row>
    <row r="186" spans="1:15" x14ac:dyDescent="0.2">
      <c r="A186" s="7">
        <v>2026</v>
      </c>
      <c r="B186" s="7" t="s">
        <v>5</v>
      </c>
      <c r="C186" s="7" t="s">
        <v>379</v>
      </c>
      <c r="D186" s="7" t="s">
        <v>687</v>
      </c>
      <c r="E186" s="7" t="s">
        <v>687</v>
      </c>
      <c r="F186" s="7" t="s">
        <v>379</v>
      </c>
      <c r="G186" s="7" t="s">
        <v>380</v>
      </c>
      <c r="H186" s="8">
        <f>ROUND(SUMPRODUCT(SUMIF(Final!$G$4:$G$330,CashReserveLevy!D186:F186,Final!$C$4:$C$330)),0)</f>
        <v>6201592</v>
      </c>
      <c r="I186" s="8">
        <f t="shared" si="11"/>
        <v>1240318</v>
      </c>
      <c r="J186" s="8">
        <f>ROUND(SUMPRODUCT(SUMIF(Final!$G$4:$G$330,CashReserveLevy!D186:F186,Final!$E$4:$E$330)),0)</f>
        <v>2077193</v>
      </c>
      <c r="K186" s="8">
        <f t="shared" si="12"/>
        <v>0</v>
      </c>
      <c r="L186" s="8">
        <f>INDEX(ActualCRLevy_SAS!$A$2:$D$326,MATCH(CashReserveLevy!$C186,ActualCRLevy_SAS!$B$2:$B$326,0),4)</f>
        <v>0</v>
      </c>
      <c r="M186" s="31" t="str">
        <f t="shared" si="13"/>
        <v/>
      </c>
      <c r="N186" s="1" t="str">
        <f t="shared" si="14"/>
        <v/>
      </c>
      <c r="O186" s="1" t="str">
        <f t="shared" si="15"/>
        <v/>
      </c>
    </row>
    <row r="187" spans="1:15" x14ac:dyDescent="0.2">
      <c r="A187" s="7">
        <v>2026</v>
      </c>
      <c r="B187" s="7" t="s">
        <v>20</v>
      </c>
      <c r="C187" s="7" t="s">
        <v>381</v>
      </c>
      <c r="D187" s="7" t="s">
        <v>687</v>
      </c>
      <c r="E187" s="7" t="s">
        <v>687</v>
      </c>
      <c r="F187" s="7" t="s">
        <v>381</v>
      </c>
      <c r="G187" s="7" t="s">
        <v>382</v>
      </c>
      <c r="H187" s="8">
        <f>ROUND(SUMPRODUCT(SUMIF(Final!$G$4:$G$330,CashReserveLevy!D187:F187,Final!$C$4:$C$330)),0)</f>
        <v>13388332</v>
      </c>
      <c r="I187" s="8">
        <f t="shared" si="11"/>
        <v>2677666</v>
      </c>
      <c r="J187" s="8">
        <f>ROUND(SUMPRODUCT(SUMIF(Final!$G$4:$G$330,CashReserveLevy!D187:F187,Final!$E$4:$E$330)),0)</f>
        <v>1376623</v>
      </c>
      <c r="K187" s="8">
        <f t="shared" si="12"/>
        <v>1301043</v>
      </c>
      <c r="L187" s="8">
        <f>INDEX(ActualCRLevy_SAS!$A$2:$D$326,MATCH(CashReserveLevy!$C187,ActualCRLevy_SAS!$B$2:$B$326,0),4)</f>
        <v>818065</v>
      </c>
      <c r="M187" s="31" t="str">
        <f t="shared" si="13"/>
        <v/>
      </c>
      <c r="N187" s="1" t="str">
        <f t="shared" si="14"/>
        <v/>
      </c>
      <c r="O187" s="1" t="str">
        <f t="shared" si="15"/>
        <v/>
      </c>
    </row>
    <row r="188" spans="1:15" x14ac:dyDescent="0.2">
      <c r="A188" s="7">
        <v>2026</v>
      </c>
      <c r="B188" s="7" t="s">
        <v>17</v>
      </c>
      <c r="C188" s="7" t="s">
        <v>383</v>
      </c>
      <c r="D188" s="7" t="s">
        <v>687</v>
      </c>
      <c r="E188" s="7" t="s">
        <v>687</v>
      </c>
      <c r="F188" s="7" t="s">
        <v>383</v>
      </c>
      <c r="G188" s="7" t="s">
        <v>384</v>
      </c>
      <c r="H188" s="8">
        <f>ROUND(SUMPRODUCT(SUMIF(Final!$G$4:$G$330,CashReserveLevy!D188:F188,Final!$C$4:$C$330)),0)</f>
        <v>5385380</v>
      </c>
      <c r="I188" s="8">
        <f t="shared" si="11"/>
        <v>1077076</v>
      </c>
      <c r="J188" s="8">
        <f>ROUND(SUMPRODUCT(SUMIF(Final!$G$4:$G$330,CashReserveLevy!D188:F188,Final!$E$4:$E$330)),0)</f>
        <v>2856298</v>
      </c>
      <c r="K188" s="8">
        <f t="shared" si="12"/>
        <v>0</v>
      </c>
      <c r="L188" s="8">
        <f>INDEX(ActualCRLevy_SAS!$A$2:$D$326,MATCH(CashReserveLevy!$C188,ActualCRLevy_SAS!$B$2:$B$326,0),4)</f>
        <v>0</v>
      </c>
      <c r="M188" s="31" t="str">
        <f t="shared" si="13"/>
        <v/>
      </c>
      <c r="N188" s="1" t="str">
        <f t="shared" si="14"/>
        <v/>
      </c>
      <c r="O188" s="1" t="str">
        <f t="shared" si="15"/>
        <v/>
      </c>
    </row>
    <row r="189" spans="1:15" x14ac:dyDescent="0.2">
      <c r="A189" s="7">
        <v>2026</v>
      </c>
      <c r="B189" s="7" t="s">
        <v>8</v>
      </c>
      <c r="C189" s="7" t="s">
        <v>385</v>
      </c>
      <c r="D189" s="7" t="s">
        <v>687</v>
      </c>
      <c r="E189" s="7" t="s">
        <v>687</v>
      </c>
      <c r="F189" s="7" t="s">
        <v>385</v>
      </c>
      <c r="G189" s="7" t="s">
        <v>386</v>
      </c>
      <c r="H189" s="8">
        <f>ROUND(SUMPRODUCT(SUMIF(Final!$G$4:$G$330,CashReserveLevy!D189:F189,Final!$C$4:$C$330)),0)</f>
        <v>3428512</v>
      </c>
      <c r="I189" s="8">
        <f t="shared" si="11"/>
        <v>685702</v>
      </c>
      <c r="J189" s="8">
        <f>ROUND(SUMPRODUCT(SUMIF(Final!$G$4:$G$330,CashReserveLevy!D189:F189,Final!$E$4:$E$330)),0)</f>
        <v>431033</v>
      </c>
      <c r="K189" s="8">
        <f t="shared" si="12"/>
        <v>254669</v>
      </c>
      <c r="L189" s="8">
        <f>INDEX(ActualCRLevy_SAS!$A$2:$D$326,MATCH(CashReserveLevy!$C189,ActualCRLevy_SAS!$B$2:$B$326,0),4)</f>
        <v>0</v>
      </c>
      <c r="M189" s="31" t="str">
        <f t="shared" si="13"/>
        <v/>
      </c>
      <c r="N189" s="1" t="str">
        <f t="shared" si="14"/>
        <v>No Levy but have Capacity</v>
      </c>
      <c r="O189" s="1" t="str">
        <f t="shared" si="15"/>
        <v/>
      </c>
    </row>
    <row r="190" spans="1:15" x14ac:dyDescent="0.2">
      <c r="A190" s="7">
        <v>2026</v>
      </c>
      <c r="B190" s="7" t="s">
        <v>17</v>
      </c>
      <c r="C190" s="7" t="s">
        <v>387</v>
      </c>
      <c r="D190" s="7" t="s">
        <v>687</v>
      </c>
      <c r="E190" s="7" t="s">
        <v>687</v>
      </c>
      <c r="F190" s="7" t="s">
        <v>387</v>
      </c>
      <c r="G190" s="7" t="s">
        <v>388</v>
      </c>
      <c r="H190" s="8">
        <f>ROUND(SUMPRODUCT(SUMIF(Final!$G$4:$G$330,CashReserveLevy!D190:F190,Final!$C$4:$C$330)),0)</f>
        <v>2794833</v>
      </c>
      <c r="I190" s="8">
        <f t="shared" si="11"/>
        <v>558967</v>
      </c>
      <c r="J190" s="8">
        <f>ROUND(SUMPRODUCT(SUMIF(Final!$G$4:$G$330,CashReserveLevy!D190:F190,Final!$E$4:$E$330)),0)</f>
        <v>2143641</v>
      </c>
      <c r="K190" s="8">
        <f t="shared" si="12"/>
        <v>0</v>
      </c>
      <c r="L190" s="8">
        <f>INDEX(ActualCRLevy_SAS!$A$2:$D$326,MATCH(CashReserveLevy!$C190,ActualCRLevy_SAS!$B$2:$B$326,0),4)</f>
        <v>0</v>
      </c>
      <c r="M190" s="31" t="str">
        <f t="shared" si="13"/>
        <v/>
      </c>
      <c r="N190" s="1" t="str">
        <f t="shared" si="14"/>
        <v/>
      </c>
      <c r="O190" s="1" t="str">
        <f t="shared" si="15"/>
        <v/>
      </c>
    </row>
    <row r="191" spans="1:15" x14ac:dyDescent="0.2">
      <c r="A191" s="7">
        <v>2026</v>
      </c>
      <c r="B191" s="7" t="s">
        <v>17</v>
      </c>
      <c r="C191" s="7" t="s">
        <v>389</v>
      </c>
      <c r="D191" s="7" t="s">
        <v>687</v>
      </c>
      <c r="E191" s="7" t="s">
        <v>687</v>
      </c>
      <c r="F191" s="7" t="s">
        <v>389</v>
      </c>
      <c r="G191" s="7" t="s">
        <v>390</v>
      </c>
      <c r="H191" s="8">
        <f>ROUND(SUMPRODUCT(SUMIF(Final!$G$4:$G$330,CashReserveLevy!D191:F191,Final!$C$4:$C$330)),0)</f>
        <v>3112754</v>
      </c>
      <c r="I191" s="8">
        <f t="shared" si="11"/>
        <v>622551</v>
      </c>
      <c r="J191" s="8">
        <f>ROUND(SUMPRODUCT(SUMIF(Final!$G$4:$G$330,CashReserveLevy!D191:F191,Final!$E$4:$E$330)),0)</f>
        <v>131673</v>
      </c>
      <c r="K191" s="8">
        <f t="shared" si="12"/>
        <v>490878</v>
      </c>
      <c r="L191" s="8">
        <f>INDEX(ActualCRLevy_SAS!$A$2:$D$326,MATCH(CashReserveLevy!$C191,ActualCRLevy_SAS!$B$2:$B$326,0),4)</f>
        <v>275000</v>
      </c>
      <c r="M191" s="31" t="str">
        <f t="shared" si="13"/>
        <v/>
      </c>
      <c r="N191" s="1" t="str">
        <f t="shared" si="14"/>
        <v/>
      </c>
      <c r="O191" s="1" t="str">
        <f t="shared" si="15"/>
        <v/>
      </c>
    </row>
    <row r="192" spans="1:15" x14ac:dyDescent="0.2">
      <c r="A192" s="7">
        <v>2026</v>
      </c>
      <c r="B192" s="7" t="s">
        <v>8</v>
      </c>
      <c r="C192" s="7" t="s">
        <v>391</v>
      </c>
      <c r="D192" s="7" t="s">
        <v>687</v>
      </c>
      <c r="E192" s="7" t="s">
        <v>687</v>
      </c>
      <c r="F192" s="7" t="s">
        <v>391</v>
      </c>
      <c r="G192" s="7" t="s">
        <v>392</v>
      </c>
      <c r="H192" s="8">
        <f>ROUND(SUMPRODUCT(SUMIF(Final!$G$4:$G$330,CashReserveLevy!D192:F192,Final!$C$4:$C$330)),0)</f>
        <v>11219279</v>
      </c>
      <c r="I192" s="8">
        <f t="shared" si="11"/>
        <v>2243856</v>
      </c>
      <c r="J192" s="8">
        <f>ROUND(SUMPRODUCT(SUMIF(Final!$G$4:$G$330,CashReserveLevy!D192:F192,Final!$E$4:$E$330)),0)</f>
        <v>1929824</v>
      </c>
      <c r="K192" s="8">
        <f t="shared" si="12"/>
        <v>314032</v>
      </c>
      <c r="L192" s="8">
        <f>INDEX(ActualCRLevy_SAS!$A$2:$D$326,MATCH(CashReserveLevy!$C192,ActualCRLevy_SAS!$B$2:$B$326,0),4)</f>
        <v>75000</v>
      </c>
      <c r="M192" s="31" t="str">
        <f t="shared" si="13"/>
        <v/>
      </c>
      <c r="N192" s="1" t="str">
        <f t="shared" si="14"/>
        <v/>
      </c>
      <c r="O192" s="1" t="str">
        <f t="shared" si="15"/>
        <v/>
      </c>
    </row>
    <row r="193" spans="1:15" x14ac:dyDescent="0.2">
      <c r="A193" s="7">
        <v>2026</v>
      </c>
      <c r="B193" s="7" t="s">
        <v>17</v>
      </c>
      <c r="C193" s="7" t="s">
        <v>393</v>
      </c>
      <c r="D193" s="7" t="s">
        <v>687</v>
      </c>
      <c r="E193" s="7" t="s">
        <v>687</v>
      </c>
      <c r="F193" s="7" t="s">
        <v>393</v>
      </c>
      <c r="G193" s="7" t="s">
        <v>394</v>
      </c>
      <c r="H193" s="8">
        <f>ROUND(SUMPRODUCT(SUMIF(Final!$G$4:$G$330,CashReserveLevy!D193:F193,Final!$C$4:$C$330)),0)</f>
        <v>24976093</v>
      </c>
      <c r="I193" s="8">
        <f t="shared" si="11"/>
        <v>4995219</v>
      </c>
      <c r="J193" s="8">
        <f>ROUND(SUMPRODUCT(SUMIF(Final!$G$4:$G$330,CashReserveLevy!D193:F193,Final!$E$4:$E$330)),0)</f>
        <v>6676935</v>
      </c>
      <c r="K193" s="8">
        <f t="shared" si="12"/>
        <v>0</v>
      </c>
      <c r="L193" s="8">
        <f>INDEX(ActualCRLevy_SAS!$A$2:$D$326,MATCH(CashReserveLevy!$C193,ActualCRLevy_SAS!$B$2:$B$326,0),4)</f>
        <v>0</v>
      </c>
      <c r="M193" s="31" t="str">
        <f t="shared" si="13"/>
        <v/>
      </c>
      <c r="N193" s="1" t="str">
        <f t="shared" si="14"/>
        <v/>
      </c>
      <c r="O193" s="1" t="str">
        <f t="shared" si="15"/>
        <v/>
      </c>
    </row>
    <row r="194" spans="1:15" x14ac:dyDescent="0.2">
      <c r="A194" s="7">
        <v>2026</v>
      </c>
      <c r="B194" s="7" t="s">
        <v>20</v>
      </c>
      <c r="C194" s="7" t="s">
        <v>395</v>
      </c>
      <c r="D194" s="7" t="s">
        <v>687</v>
      </c>
      <c r="E194" s="7" t="s">
        <v>687</v>
      </c>
      <c r="F194" s="7" t="s">
        <v>395</v>
      </c>
      <c r="G194" s="7" t="s">
        <v>396</v>
      </c>
      <c r="H194" s="8">
        <f>ROUND(SUMPRODUCT(SUMIF(Final!$G$4:$G$330,CashReserveLevy!D194:F194,Final!$C$4:$C$330)),0)</f>
        <v>17850814</v>
      </c>
      <c r="I194" s="8">
        <f t="shared" si="11"/>
        <v>3570163</v>
      </c>
      <c r="J194" s="8">
        <f>ROUND(SUMPRODUCT(SUMIF(Final!$G$4:$G$330,CashReserveLevy!D194:F194,Final!$E$4:$E$330)),0)</f>
        <v>917008</v>
      </c>
      <c r="K194" s="8">
        <f t="shared" si="12"/>
        <v>2653155</v>
      </c>
      <c r="L194" s="8">
        <f>INDEX(ActualCRLevy_SAS!$A$2:$D$326,MATCH(CashReserveLevy!$C194,ActualCRLevy_SAS!$B$2:$B$326,0),4)</f>
        <v>796340</v>
      </c>
      <c r="M194" s="31" t="str">
        <f t="shared" si="13"/>
        <v/>
      </c>
      <c r="N194" s="1" t="str">
        <f t="shared" si="14"/>
        <v/>
      </c>
      <c r="O194" s="1" t="str">
        <f t="shared" si="15"/>
        <v/>
      </c>
    </row>
    <row r="195" spans="1:15" x14ac:dyDescent="0.2">
      <c r="A195" s="7">
        <v>2026</v>
      </c>
      <c r="B195" s="7" t="s">
        <v>8</v>
      </c>
      <c r="C195" s="7" t="s">
        <v>397</v>
      </c>
      <c r="D195" s="7" t="s">
        <v>687</v>
      </c>
      <c r="E195" s="7" t="s">
        <v>687</v>
      </c>
      <c r="F195" s="7" t="s">
        <v>397</v>
      </c>
      <c r="G195" s="7" t="s">
        <v>398</v>
      </c>
      <c r="H195" s="8">
        <f>ROUND(SUMPRODUCT(SUMIF(Final!$G$4:$G$330,CashReserveLevy!D195:F195,Final!$C$4:$C$330)),0)</f>
        <v>4430248</v>
      </c>
      <c r="I195" s="8">
        <f t="shared" si="11"/>
        <v>886050</v>
      </c>
      <c r="J195" s="8">
        <f>ROUND(SUMPRODUCT(SUMIF(Final!$G$4:$G$330,CashReserveLevy!D195:F195,Final!$E$4:$E$330)),0)</f>
        <v>1176726</v>
      </c>
      <c r="K195" s="8">
        <f t="shared" si="12"/>
        <v>0</v>
      </c>
      <c r="L195" s="8">
        <f>INDEX(ActualCRLevy_SAS!$A$2:$D$326,MATCH(CashReserveLevy!$C195,ActualCRLevy_SAS!$B$2:$B$326,0),4)</f>
        <v>0</v>
      </c>
      <c r="M195" s="31" t="str">
        <f t="shared" si="13"/>
        <v/>
      </c>
      <c r="N195" s="1" t="str">
        <f t="shared" si="14"/>
        <v/>
      </c>
      <c r="O195" s="1" t="str">
        <f t="shared" si="15"/>
        <v/>
      </c>
    </row>
    <row r="196" spans="1:15" x14ac:dyDescent="0.2">
      <c r="A196" s="7">
        <v>2026</v>
      </c>
      <c r="B196" s="7" t="s">
        <v>37</v>
      </c>
      <c r="C196" s="7" t="s">
        <v>399</v>
      </c>
      <c r="D196" s="7" t="s">
        <v>687</v>
      </c>
      <c r="E196" s="7" t="s">
        <v>687</v>
      </c>
      <c r="F196" s="7" t="s">
        <v>399</v>
      </c>
      <c r="G196" s="7" t="s">
        <v>400</v>
      </c>
      <c r="H196" s="8">
        <f>ROUND(SUMPRODUCT(SUMIF(Final!$G$4:$G$330,CashReserveLevy!D196:F196,Final!$C$4:$C$330)),0)</f>
        <v>62154542</v>
      </c>
      <c r="I196" s="8">
        <f t="shared" ref="I196:I259" si="16">ROUND(H196*0.2,0)</f>
        <v>12430908</v>
      </c>
      <c r="J196" s="8">
        <f>ROUND(SUMPRODUCT(SUMIF(Final!$G$4:$G$330,CashReserveLevy!D196:F196,Final!$E$4:$E$330)),0)</f>
        <v>10133914</v>
      </c>
      <c r="K196" s="8">
        <f t="shared" ref="K196:K259" si="17">IF(I196&gt;J196,I196-J196,0)</f>
        <v>2296994</v>
      </c>
      <c r="L196" s="8">
        <f>INDEX(ActualCRLevy_SAS!$A$2:$D$326,MATCH(CashReserveLevy!$C196,ActualCRLevy_SAS!$B$2:$B$326,0),4)</f>
        <v>1500000</v>
      </c>
      <c r="M196" s="31" t="str">
        <f t="shared" ref="M196:M259" si="18">IF(AND(L196=K196,K196&gt;0),"Max","")</f>
        <v/>
      </c>
      <c r="N196" s="1" t="str">
        <f t="shared" ref="N196:N259" si="19">IF(AND(L196&lt;K196,L196=0),"No Levy but have Capacity","")</f>
        <v/>
      </c>
      <c r="O196" s="1" t="str">
        <f t="shared" si="15"/>
        <v/>
      </c>
    </row>
    <row r="197" spans="1:15" x14ac:dyDescent="0.2">
      <c r="A197" s="7">
        <v>2026</v>
      </c>
      <c r="B197" s="7" t="s">
        <v>5</v>
      </c>
      <c r="C197" s="7" t="s">
        <v>401</v>
      </c>
      <c r="D197" s="7" t="s">
        <v>687</v>
      </c>
      <c r="E197" s="7" t="s">
        <v>687</v>
      </c>
      <c r="F197" s="7" t="s">
        <v>401</v>
      </c>
      <c r="G197" s="7" t="s">
        <v>402</v>
      </c>
      <c r="H197" s="8">
        <f>ROUND(SUMPRODUCT(SUMIF(Final!$G$4:$G$330,CashReserveLevy!D197:F197,Final!$C$4:$C$330)),0)</f>
        <v>8042604</v>
      </c>
      <c r="I197" s="8">
        <f t="shared" si="16"/>
        <v>1608521</v>
      </c>
      <c r="J197" s="8">
        <f>ROUND(SUMPRODUCT(SUMIF(Final!$G$4:$G$330,CashReserveLevy!D197:F197,Final!$E$4:$E$330)),0)</f>
        <v>1531795</v>
      </c>
      <c r="K197" s="8">
        <f t="shared" si="17"/>
        <v>76726</v>
      </c>
      <c r="L197" s="8">
        <f>INDEX(ActualCRLevy_SAS!$A$2:$D$326,MATCH(CashReserveLevy!$C197,ActualCRLevy_SAS!$B$2:$B$326,0),4)</f>
        <v>0</v>
      </c>
      <c r="M197" s="31" t="str">
        <f t="shared" si="18"/>
        <v/>
      </c>
      <c r="N197" s="1" t="str">
        <f t="shared" si="19"/>
        <v>No Levy but have Capacity</v>
      </c>
      <c r="O197" s="1" t="str">
        <f t="shared" si="15"/>
        <v/>
      </c>
    </row>
    <row r="198" spans="1:15" x14ac:dyDescent="0.2">
      <c r="A198" s="7">
        <v>2026</v>
      </c>
      <c r="B198" s="7" t="s">
        <v>0</v>
      </c>
      <c r="C198" s="7" t="s">
        <v>403</v>
      </c>
      <c r="D198" s="7" t="s">
        <v>687</v>
      </c>
      <c r="E198" s="7" t="s">
        <v>687</v>
      </c>
      <c r="F198" s="7" t="s">
        <v>403</v>
      </c>
      <c r="G198" s="7" t="s">
        <v>404</v>
      </c>
      <c r="H198" s="8">
        <f>ROUND(SUMPRODUCT(SUMIF(Final!$G$4:$G$330,CashReserveLevy!D198:F198,Final!$C$4:$C$330)),0)</f>
        <v>20050781</v>
      </c>
      <c r="I198" s="8">
        <f t="shared" si="16"/>
        <v>4010156</v>
      </c>
      <c r="J198" s="8">
        <f>ROUND(SUMPRODUCT(SUMIF(Final!$G$4:$G$330,CashReserveLevy!D198:F198,Final!$E$4:$E$330)),0)</f>
        <v>2269451</v>
      </c>
      <c r="K198" s="8">
        <f t="shared" si="17"/>
        <v>1740705</v>
      </c>
      <c r="L198" s="8">
        <f>INDEX(ActualCRLevy_SAS!$A$2:$D$326,MATCH(CashReserveLevy!$C198,ActualCRLevy_SAS!$B$2:$B$326,0),4)</f>
        <v>733772</v>
      </c>
      <c r="M198" s="31" t="str">
        <f t="shared" si="18"/>
        <v/>
      </c>
      <c r="N198" s="1" t="str">
        <f t="shared" si="19"/>
        <v/>
      </c>
      <c r="O198" s="1" t="str">
        <f t="shared" si="15"/>
        <v/>
      </c>
    </row>
    <row r="199" spans="1:15" x14ac:dyDescent="0.2">
      <c r="A199" s="7">
        <v>2026</v>
      </c>
      <c r="B199" s="7" t="s">
        <v>28</v>
      </c>
      <c r="C199" s="7" t="s">
        <v>405</v>
      </c>
      <c r="D199" s="7" t="s">
        <v>687</v>
      </c>
      <c r="E199" s="7" t="s">
        <v>687</v>
      </c>
      <c r="F199" s="7" t="s">
        <v>405</v>
      </c>
      <c r="G199" s="7" t="s">
        <v>406</v>
      </c>
      <c r="H199" s="8">
        <f>ROUND(SUMPRODUCT(SUMIF(Final!$G$4:$G$330,CashReserveLevy!D199:F199,Final!$C$4:$C$330)),0)</f>
        <v>14002642</v>
      </c>
      <c r="I199" s="8">
        <f t="shared" si="16"/>
        <v>2800528</v>
      </c>
      <c r="J199" s="8">
        <f>ROUND(SUMPRODUCT(SUMIF(Final!$G$4:$G$330,CashReserveLevy!D199:F199,Final!$E$4:$E$330)),0)</f>
        <v>1607562</v>
      </c>
      <c r="K199" s="8">
        <f t="shared" si="17"/>
        <v>1192966</v>
      </c>
      <c r="L199" s="8">
        <f>INDEX(ActualCRLevy_SAS!$A$2:$D$326,MATCH(CashReserveLevy!$C199,ActualCRLevy_SAS!$B$2:$B$326,0),4)</f>
        <v>500000</v>
      </c>
      <c r="M199" s="31" t="str">
        <f t="shared" si="18"/>
        <v/>
      </c>
      <c r="N199" s="1" t="str">
        <f t="shared" si="19"/>
        <v/>
      </c>
      <c r="O199" s="1" t="str">
        <f t="shared" si="15"/>
        <v/>
      </c>
    </row>
    <row r="200" spans="1:15" x14ac:dyDescent="0.2">
      <c r="A200" s="7">
        <v>2026</v>
      </c>
      <c r="B200" s="7" t="s">
        <v>17</v>
      </c>
      <c r="C200" s="7" t="s">
        <v>407</v>
      </c>
      <c r="D200" s="7" t="s">
        <v>687</v>
      </c>
      <c r="E200" s="7" t="s">
        <v>687</v>
      </c>
      <c r="F200" s="7" t="s">
        <v>407</v>
      </c>
      <c r="G200" s="7" t="s">
        <v>408</v>
      </c>
      <c r="H200" s="8">
        <f>ROUND(SUMPRODUCT(SUMIF(Final!$G$4:$G$330,CashReserveLevy!D200:F200,Final!$C$4:$C$330)),0)</f>
        <v>7976723</v>
      </c>
      <c r="I200" s="8">
        <f t="shared" si="16"/>
        <v>1595345</v>
      </c>
      <c r="J200" s="8">
        <f>ROUND(SUMPRODUCT(SUMIF(Final!$G$4:$G$330,CashReserveLevy!D200:F200,Final!$E$4:$E$330)),0)</f>
        <v>861594</v>
      </c>
      <c r="K200" s="8">
        <f t="shared" si="17"/>
        <v>733751</v>
      </c>
      <c r="L200" s="8">
        <f>INDEX(ActualCRLevy_SAS!$A$2:$D$326,MATCH(CashReserveLevy!$C200,ActualCRLevy_SAS!$B$2:$B$326,0),4)</f>
        <v>161248</v>
      </c>
      <c r="M200" s="31" t="str">
        <f t="shared" si="18"/>
        <v/>
      </c>
      <c r="N200" s="1" t="str">
        <f t="shared" si="19"/>
        <v/>
      </c>
      <c r="O200" s="1" t="str">
        <f t="shared" si="15"/>
        <v/>
      </c>
    </row>
    <row r="201" spans="1:15" x14ac:dyDescent="0.2">
      <c r="A201" s="7">
        <v>2026</v>
      </c>
      <c r="B201" s="7" t="s">
        <v>14</v>
      </c>
      <c r="C201" s="7" t="s">
        <v>409</v>
      </c>
      <c r="D201" s="7" t="s">
        <v>687</v>
      </c>
      <c r="E201" s="7" t="s">
        <v>687</v>
      </c>
      <c r="F201" s="7" t="s">
        <v>409</v>
      </c>
      <c r="G201" s="7" t="s">
        <v>410</v>
      </c>
      <c r="H201" s="8">
        <f>ROUND(SUMPRODUCT(SUMIF(Final!$G$4:$G$330,CashReserveLevy!D201:F201,Final!$C$4:$C$330)),0)</f>
        <v>6929096</v>
      </c>
      <c r="I201" s="8">
        <f t="shared" si="16"/>
        <v>1385819</v>
      </c>
      <c r="J201" s="8">
        <f>ROUND(SUMPRODUCT(SUMIF(Final!$G$4:$G$330,CashReserveLevy!D201:F201,Final!$E$4:$E$330)),0)</f>
        <v>2345079</v>
      </c>
      <c r="K201" s="8">
        <f t="shared" si="17"/>
        <v>0</v>
      </c>
      <c r="L201" s="8">
        <f>INDEX(ActualCRLevy_SAS!$A$2:$D$326,MATCH(CashReserveLevy!$C201,ActualCRLevy_SAS!$B$2:$B$326,0),4)</f>
        <v>0</v>
      </c>
      <c r="M201" s="31" t="str">
        <f t="shared" si="18"/>
        <v/>
      </c>
      <c r="N201" s="1" t="str">
        <f t="shared" si="19"/>
        <v/>
      </c>
      <c r="O201" s="1" t="str">
        <f t="shared" si="15"/>
        <v/>
      </c>
    </row>
    <row r="202" spans="1:15" x14ac:dyDescent="0.2">
      <c r="A202" s="7">
        <v>2026</v>
      </c>
      <c r="B202" s="7" t="s">
        <v>0</v>
      </c>
      <c r="C202" s="7" t="s">
        <v>411</v>
      </c>
      <c r="D202" s="7" t="s">
        <v>687</v>
      </c>
      <c r="E202" s="7" t="s">
        <v>687</v>
      </c>
      <c r="F202" s="7" t="s">
        <v>411</v>
      </c>
      <c r="G202" s="7" t="s">
        <v>412</v>
      </c>
      <c r="H202" s="8">
        <f>ROUND(SUMPRODUCT(SUMIF(Final!$G$4:$G$330,CashReserveLevy!D202:F202,Final!$C$4:$C$330)),0)</f>
        <v>39617034</v>
      </c>
      <c r="I202" s="8">
        <f t="shared" si="16"/>
        <v>7923407</v>
      </c>
      <c r="J202" s="8">
        <f>ROUND(SUMPRODUCT(SUMIF(Final!$G$4:$G$330,CashReserveLevy!D202:F202,Final!$E$4:$E$330)),0)</f>
        <v>6786110</v>
      </c>
      <c r="K202" s="8">
        <f t="shared" si="17"/>
        <v>1137297</v>
      </c>
      <c r="L202" s="8">
        <f>INDEX(ActualCRLevy_SAS!$A$2:$D$326,MATCH(CashReserveLevy!$C202,ActualCRLevy_SAS!$B$2:$B$326,0),4)</f>
        <v>324259</v>
      </c>
      <c r="M202" s="31" t="str">
        <f t="shared" si="18"/>
        <v/>
      </c>
      <c r="N202" s="1" t="str">
        <f t="shared" si="19"/>
        <v/>
      </c>
      <c r="O202" s="1" t="str">
        <f t="shared" si="15"/>
        <v/>
      </c>
    </row>
    <row r="203" spans="1:15" x14ac:dyDescent="0.2">
      <c r="A203" s="7">
        <v>2026</v>
      </c>
      <c r="B203" s="7" t="s">
        <v>8</v>
      </c>
      <c r="C203" s="7" t="s">
        <v>413</v>
      </c>
      <c r="D203" s="7" t="s">
        <v>687</v>
      </c>
      <c r="E203" s="7" t="s">
        <v>687</v>
      </c>
      <c r="F203" s="7" t="s">
        <v>413</v>
      </c>
      <c r="G203" s="7" t="s">
        <v>414</v>
      </c>
      <c r="H203" s="8">
        <f>ROUND(SUMPRODUCT(SUMIF(Final!$G$4:$G$330,CashReserveLevy!D203:F203,Final!$C$4:$C$330)),0)</f>
        <v>8755969</v>
      </c>
      <c r="I203" s="8">
        <f t="shared" si="16"/>
        <v>1751194</v>
      </c>
      <c r="J203" s="8">
        <f>ROUND(SUMPRODUCT(SUMIF(Final!$G$4:$G$330,CashReserveLevy!D203:F203,Final!$E$4:$E$330)),0)</f>
        <v>6288429</v>
      </c>
      <c r="K203" s="8">
        <f t="shared" si="17"/>
        <v>0</v>
      </c>
      <c r="L203" s="8">
        <f>INDEX(ActualCRLevy_SAS!$A$2:$D$326,MATCH(CashReserveLevy!$C203,ActualCRLevy_SAS!$B$2:$B$326,0),4)</f>
        <v>0</v>
      </c>
      <c r="M203" s="31" t="str">
        <f t="shared" si="18"/>
        <v/>
      </c>
      <c r="N203" s="1" t="str">
        <f t="shared" si="19"/>
        <v/>
      </c>
      <c r="O203" s="1" t="str">
        <f t="shared" si="15"/>
        <v/>
      </c>
    </row>
    <row r="204" spans="1:15" x14ac:dyDescent="0.2">
      <c r="A204" s="7">
        <v>2026</v>
      </c>
      <c r="B204" s="7" t="s">
        <v>5</v>
      </c>
      <c r="C204" s="7" t="s">
        <v>415</v>
      </c>
      <c r="D204" s="7" t="s">
        <v>687</v>
      </c>
      <c r="E204" s="7" t="s">
        <v>687</v>
      </c>
      <c r="F204" s="7" t="s">
        <v>415</v>
      </c>
      <c r="G204" s="7" t="s">
        <v>416</v>
      </c>
      <c r="H204" s="8">
        <f>ROUND(SUMPRODUCT(SUMIF(Final!$G$4:$G$330,CashReserveLevy!D204:F204,Final!$C$4:$C$330)),0)</f>
        <v>7898951</v>
      </c>
      <c r="I204" s="8">
        <f t="shared" si="16"/>
        <v>1579790</v>
      </c>
      <c r="J204" s="8">
        <f>ROUND(SUMPRODUCT(SUMIF(Final!$G$4:$G$330,CashReserveLevy!D204:F204,Final!$E$4:$E$330)),0)</f>
        <v>1535842</v>
      </c>
      <c r="K204" s="8">
        <f t="shared" si="17"/>
        <v>43948</v>
      </c>
      <c r="L204" s="8">
        <f>INDEX(ActualCRLevy_SAS!$A$2:$D$326,MATCH(CashReserveLevy!$C204,ActualCRLevy_SAS!$B$2:$B$326,0),4)</f>
        <v>43948</v>
      </c>
      <c r="M204" s="31" t="str">
        <f t="shared" si="18"/>
        <v>Max</v>
      </c>
      <c r="N204" s="1" t="str">
        <f t="shared" si="19"/>
        <v/>
      </c>
      <c r="O204" s="1" t="str">
        <f t="shared" si="15"/>
        <v/>
      </c>
    </row>
    <row r="205" spans="1:15" x14ac:dyDescent="0.2">
      <c r="A205" s="7">
        <v>2026</v>
      </c>
      <c r="B205" s="7" t="s">
        <v>20</v>
      </c>
      <c r="C205" s="7" t="s">
        <v>417</v>
      </c>
      <c r="D205" s="7" t="s">
        <v>687</v>
      </c>
      <c r="E205" s="7" t="s">
        <v>687</v>
      </c>
      <c r="F205" s="7" t="s">
        <v>417</v>
      </c>
      <c r="G205" s="7" t="s">
        <v>418</v>
      </c>
      <c r="H205" s="8">
        <f>ROUND(SUMPRODUCT(SUMIF(Final!$G$4:$G$330,CashReserveLevy!D205:F205,Final!$C$4:$C$330)),0)</f>
        <v>10906117</v>
      </c>
      <c r="I205" s="8">
        <f t="shared" si="16"/>
        <v>2181223</v>
      </c>
      <c r="J205" s="8">
        <f>ROUND(SUMPRODUCT(SUMIF(Final!$G$4:$G$330,CashReserveLevy!D205:F205,Final!$E$4:$E$330)),0)</f>
        <v>-317511</v>
      </c>
      <c r="K205" s="8">
        <f t="shared" si="17"/>
        <v>2498734</v>
      </c>
      <c r="L205" s="8">
        <f>INDEX(ActualCRLevy_SAS!$A$2:$D$326,MATCH(CashReserveLevy!$C205,ActualCRLevy_SAS!$B$2:$B$326,0),4)</f>
        <v>1430000</v>
      </c>
      <c r="M205" s="31" t="str">
        <f t="shared" si="18"/>
        <v/>
      </c>
      <c r="N205" s="1" t="str">
        <f t="shared" si="19"/>
        <v/>
      </c>
      <c r="O205" s="1" t="str">
        <f t="shared" ref="O205:O268" si="20">IF(L205&gt;K205,"Exceedes Maximum Limit","")</f>
        <v/>
      </c>
    </row>
    <row r="206" spans="1:15" x14ac:dyDescent="0.2">
      <c r="A206" s="7">
        <v>2026</v>
      </c>
      <c r="B206" s="7" t="s">
        <v>28</v>
      </c>
      <c r="C206" s="7" t="s">
        <v>419</v>
      </c>
      <c r="D206" s="7" t="s">
        <v>687</v>
      </c>
      <c r="E206" s="7" t="s">
        <v>687</v>
      </c>
      <c r="F206" s="7" t="s">
        <v>419</v>
      </c>
      <c r="G206" s="7" t="s">
        <v>420</v>
      </c>
      <c r="H206" s="8">
        <f>ROUND(SUMPRODUCT(SUMIF(Final!$G$4:$G$330,CashReserveLevy!D206:F206,Final!$C$4:$C$330)),0)</f>
        <v>15180277</v>
      </c>
      <c r="I206" s="8">
        <f t="shared" si="16"/>
        <v>3036055</v>
      </c>
      <c r="J206" s="8">
        <f>ROUND(SUMPRODUCT(SUMIF(Final!$G$4:$G$330,CashReserveLevy!D206:F206,Final!$E$4:$E$330)),0)</f>
        <v>2154251</v>
      </c>
      <c r="K206" s="8">
        <f t="shared" si="17"/>
        <v>881804</v>
      </c>
      <c r="L206" s="8">
        <f>INDEX(ActualCRLevy_SAS!$A$2:$D$326,MATCH(CashReserveLevy!$C206,ActualCRLevy_SAS!$B$2:$B$326,0),4)</f>
        <v>763057</v>
      </c>
      <c r="M206" s="31" t="str">
        <f t="shared" si="18"/>
        <v/>
      </c>
      <c r="N206" s="1" t="str">
        <f t="shared" si="19"/>
        <v/>
      </c>
      <c r="O206" s="1" t="str">
        <f t="shared" si="20"/>
        <v/>
      </c>
    </row>
    <row r="207" spans="1:15" x14ac:dyDescent="0.2">
      <c r="A207" s="7">
        <v>2026</v>
      </c>
      <c r="B207" s="7" t="s">
        <v>5</v>
      </c>
      <c r="C207" s="7" t="s">
        <v>421</v>
      </c>
      <c r="D207" s="7" t="s">
        <v>687</v>
      </c>
      <c r="E207" s="7" t="s">
        <v>687</v>
      </c>
      <c r="F207" s="7" t="s">
        <v>421</v>
      </c>
      <c r="G207" s="7" t="s">
        <v>422</v>
      </c>
      <c r="H207" s="8">
        <f>ROUND(SUMPRODUCT(SUMIF(Final!$G$4:$G$330,CashReserveLevy!D207:F207,Final!$C$4:$C$330)),0)</f>
        <v>7210952</v>
      </c>
      <c r="I207" s="8">
        <f t="shared" si="16"/>
        <v>1442190</v>
      </c>
      <c r="J207" s="8">
        <f>ROUND(SUMPRODUCT(SUMIF(Final!$G$4:$G$330,CashReserveLevy!D207:F207,Final!$E$4:$E$330)),0)</f>
        <v>1032084</v>
      </c>
      <c r="K207" s="8">
        <f t="shared" si="17"/>
        <v>410106</v>
      </c>
      <c r="L207" s="8">
        <f>INDEX(ActualCRLevy_SAS!$A$2:$D$326,MATCH(CashReserveLevy!$C207,ActualCRLevy_SAS!$B$2:$B$326,0),4)</f>
        <v>375000</v>
      </c>
      <c r="M207" s="31" t="str">
        <f t="shared" si="18"/>
        <v/>
      </c>
      <c r="N207" s="1" t="str">
        <f t="shared" si="19"/>
        <v/>
      </c>
      <c r="O207" s="1" t="str">
        <f t="shared" si="20"/>
        <v/>
      </c>
    </row>
    <row r="208" spans="1:15" x14ac:dyDescent="0.2">
      <c r="A208" s="7">
        <v>2026</v>
      </c>
      <c r="B208" s="7" t="s">
        <v>14</v>
      </c>
      <c r="C208" s="7" t="s">
        <v>423</v>
      </c>
      <c r="D208" s="7" t="s">
        <v>687</v>
      </c>
      <c r="E208" s="7" t="s">
        <v>687</v>
      </c>
      <c r="F208" s="7" t="s">
        <v>423</v>
      </c>
      <c r="G208" s="7" t="s">
        <v>424</v>
      </c>
      <c r="H208" s="8">
        <f>ROUND(SUMPRODUCT(SUMIF(Final!$G$4:$G$330,CashReserveLevy!D208:F208,Final!$C$4:$C$330)),0)</f>
        <v>4907375</v>
      </c>
      <c r="I208" s="8">
        <f t="shared" si="16"/>
        <v>981475</v>
      </c>
      <c r="J208" s="8">
        <f>ROUND(SUMPRODUCT(SUMIF(Final!$G$4:$G$330,CashReserveLevy!D208:F208,Final!$E$4:$E$330)),0)</f>
        <v>2322935</v>
      </c>
      <c r="K208" s="8">
        <f t="shared" si="17"/>
        <v>0</v>
      </c>
      <c r="L208" s="8">
        <f>INDEX(ActualCRLevy_SAS!$A$2:$D$326,MATCH(CashReserveLevy!$C208,ActualCRLevy_SAS!$B$2:$B$326,0),4)</f>
        <v>0</v>
      </c>
      <c r="M208" s="31" t="str">
        <f t="shared" si="18"/>
        <v/>
      </c>
      <c r="N208" s="1" t="str">
        <f t="shared" si="19"/>
        <v/>
      </c>
      <c r="O208" s="1" t="str">
        <f t="shared" si="20"/>
        <v/>
      </c>
    </row>
    <row r="209" spans="1:15" x14ac:dyDescent="0.2">
      <c r="A209" s="7">
        <v>2026</v>
      </c>
      <c r="B209" s="7" t="s">
        <v>20</v>
      </c>
      <c r="C209" s="7" t="s">
        <v>425</v>
      </c>
      <c r="D209" s="7" t="s">
        <v>687</v>
      </c>
      <c r="E209" s="7" t="s">
        <v>687</v>
      </c>
      <c r="F209" s="7" t="s">
        <v>425</v>
      </c>
      <c r="G209" s="7" t="s">
        <v>426</v>
      </c>
      <c r="H209" s="8">
        <f>ROUND(SUMPRODUCT(SUMIF(Final!$G$4:$G$330,CashReserveLevy!D209:F209,Final!$C$4:$C$330)),0)</f>
        <v>7592117</v>
      </c>
      <c r="I209" s="8">
        <f t="shared" si="16"/>
        <v>1518423</v>
      </c>
      <c r="J209" s="8">
        <f>ROUND(SUMPRODUCT(SUMIF(Final!$G$4:$G$330,CashReserveLevy!D209:F209,Final!$E$4:$E$330)),0)</f>
        <v>4238176</v>
      </c>
      <c r="K209" s="8">
        <f t="shared" si="17"/>
        <v>0</v>
      </c>
      <c r="L209" s="8">
        <f>INDEX(ActualCRLevy_SAS!$A$2:$D$326,MATCH(CashReserveLevy!$C209,ActualCRLevy_SAS!$B$2:$B$326,0),4)</f>
        <v>0</v>
      </c>
      <c r="M209" s="31" t="str">
        <f t="shared" si="18"/>
        <v/>
      </c>
      <c r="N209" s="1" t="str">
        <f t="shared" si="19"/>
        <v/>
      </c>
      <c r="O209" s="1" t="str">
        <f t="shared" si="20"/>
        <v/>
      </c>
    </row>
    <row r="210" spans="1:15" x14ac:dyDescent="0.2">
      <c r="A210" s="7">
        <v>2026</v>
      </c>
      <c r="B210" s="7" t="s">
        <v>17</v>
      </c>
      <c r="C210" s="7" t="s">
        <v>427</v>
      </c>
      <c r="D210" s="7" t="s">
        <v>687</v>
      </c>
      <c r="E210" s="7" t="s">
        <v>687</v>
      </c>
      <c r="F210" s="7" t="s">
        <v>427</v>
      </c>
      <c r="G210" s="7" t="s">
        <v>428</v>
      </c>
      <c r="H210" s="8">
        <f>ROUND(SUMPRODUCT(SUMIF(Final!$G$4:$G$330,CashReserveLevy!D210:F210,Final!$C$4:$C$330)),0)</f>
        <v>7939049</v>
      </c>
      <c r="I210" s="8">
        <f t="shared" si="16"/>
        <v>1587810</v>
      </c>
      <c r="J210" s="8">
        <f>ROUND(SUMPRODUCT(SUMIF(Final!$G$4:$G$330,CashReserveLevy!D210:F210,Final!$E$4:$E$330)),0)</f>
        <v>2575524</v>
      </c>
      <c r="K210" s="8">
        <f t="shared" si="17"/>
        <v>0</v>
      </c>
      <c r="L210" s="8">
        <f>INDEX(ActualCRLevy_SAS!$A$2:$D$326,MATCH(CashReserveLevy!$C210,ActualCRLevy_SAS!$B$2:$B$326,0),4)</f>
        <v>0</v>
      </c>
      <c r="M210" s="31" t="str">
        <f t="shared" si="18"/>
        <v/>
      </c>
      <c r="N210" s="1" t="str">
        <f t="shared" si="19"/>
        <v/>
      </c>
      <c r="O210" s="1" t="str">
        <f t="shared" si="20"/>
        <v/>
      </c>
    </row>
    <row r="211" spans="1:15" x14ac:dyDescent="0.2">
      <c r="A211" s="7">
        <v>2026</v>
      </c>
      <c r="B211" s="7" t="s">
        <v>0</v>
      </c>
      <c r="C211" s="7" t="s">
        <v>429</v>
      </c>
      <c r="D211" s="7" t="s">
        <v>687</v>
      </c>
      <c r="E211" s="7" t="s">
        <v>687</v>
      </c>
      <c r="F211" s="7" t="s">
        <v>429</v>
      </c>
      <c r="G211" s="7" t="s">
        <v>430</v>
      </c>
      <c r="H211" s="8">
        <f>ROUND(SUMPRODUCT(SUMIF(Final!$G$4:$G$330,CashReserveLevy!D211:F211,Final!$C$4:$C$330)),0)</f>
        <v>26987445</v>
      </c>
      <c r="I211" s="8">
        <f t="shared" si="16"/>
        <v>5397489</v>
      </c>
      <c r="J211" s="8">
        <f>ROUND(SUMPRODUCT(SUMIF(Final!$G$4:$G$330,CashReserveLevy!D211:F211,Final!$E$4:$E$330)),0)</f>
        <v>2585932</v>
      </c>
      <c r="K211" s="8">
        <f t="shared" si="17"/>
        <v>2811557</v>
      </c>
      <c r="L211" s="8">
        <f>INDEX(ActualCRLevy_SAS!$A$2:$D$326,MATCH(CashReserveLevy!$C211,ActualCRLevy_SAS!$B$2:$B$326,0),4)</f>
        <v>2373454</v>
      </c>
      <c r="M211" s="31" t="str">
        <f t="shared" si="18"/>
        <v/>
      </c>
      <c r="N211" s="1" t="str">
        <f t="shared" si="19"/>
        <v/>
      </c>
      <c r="O211" s="1" t="str">
        <f t="shared" si="20"/>
        <v/>
      </c>
    </row>
    <row r="212" spans="1:15" x14ac:dyDescent="0.2">
      <c r="A212" s="7">
        <v>2026</v>
      </c>
      <c r="B212" s="7" t="s">
        <v>37</v>
      </c>
      <c r="C212" s="7" t="s">
        <v>431</v>
      </c>
      <c r="D212" s="7" t="s">
        <v>687</v>
      </c>
      <c r="E212" s="7" t="s">
        <v>687</v>
      </c>
      <c r="F212" s="7" t="s">
        <v>431</v>
      </c>
      <c r="G212" s="7" t="s">
        <v>432</v>
      </c>
      <c r="H212" s="8">
        <f>ROUND(SUMPRODUCT(SUMIF(Final!$G$4:$G$330,CashReserveLevy!D212:F212,Final!$C$4:$C$330)),0)</f>
        <v>40255488</v>
      </c>
      <c r="I212" s="8">
        <f t="shared" si="16"/>
        <v>8051098</v>
      </c>
      <c r="J212" s="8">
        <f>ROUND(SUMPRODUCT(SUMIF(Final!$G$4:$G$330,CashReserveLevy!D212:F212,Final!$E$4:$E$330)),0)</f>
        <v>9923945</v>
      </c>
      <c r="K212" s="8">
        <f t="shared" si="17"/>
        <v>0</v>
      </c>
      <c r="L212" s="8">
        <f>INDEX(ActualCRLevy_SAS!$A$2:$D$326,MATCH(CashReserveLevy!$C212,ActualCRLevy_SAS!$B$2:$B$326,0),4)</f>
        <v>0</v>
      </c>
      <c r="M212" s="31" t="str">
        <f t="shared" si="18"/>
        <v/>
      </c>
      <c r="N212" s="1" t="str">
        <f t="shared" si="19"/>
        <v/>
      </c>
      <c r="O212" s="1" t="str">
        <f t="shared" si="20"/>
        <v/>
      </c>
    </row>
    <row r="213" spans="1:15" x14ac:dyDescent="0.2">
      <c r="A213" s="7">
        <v>2026</v>
      </c>
      <c r="B213" s="7" t="s">
        <v>5</v>
      </c>
      <c r="C213" s="7" t="s">
        <v>433</v>
      </c>
      <c r="D213" s="7" t="s">
        <v>687</v>
      </c>
      <c r="E213" s="7" t="s">
        <v>687</v>
      </c>
      <c r="F213" s="7" t="s">
        <v>433</v>
      </c>
      <c r="G213" s="7" t="s">
        <v>434</v>
      </c>
      <c r="H213" s="8">
        <f>ROUND(SUMPRODUCT(SUMIF(Final!$G$4:$G$330,CashReserveLevy!D213:F213,Final!$C$4:$C$330)),0)</f>
        <v>7322481</v>
      </c>
      <c r="I213" s="8">
        <f t="shared" si="16"/>
        <v>1464496</v>
      </c>
      <c r="J213" s="8">
        <f>ROUND(SUMPRODUCT(SUMIF(Final!$G$4:$G$330,CashReserveLevy!D213:F213,Final!$E$4:$E$330)),0)</f>
        <v>-177795</v>
      </c>
      <c r="K213" s="8">
        <f t="shared" si="17"/>
        <v>1642291</v>
      </c>
      <c r="L213" s="8">
        <f>INDEX(ActualCRLevy_SAS!$A$2:$D$326,MATCH(CashReserveLevy!$C213,ActualCRLevy_SAS!$B$2:$B$326,0),4)</f>
        <v>475000</v>
      </c>
      <c r="M213" s="31" t="str">
        <f t="shared" si="18"/>
        <v/>
      </c>
      <c r="N213" s="1" t="str">
        <f t="shared" si="19"/>
        <v/>
      </c>
      <c r="O213" s="1" t="str">
        <f t="shared" si="20"/>
        <v/>
      </c>
    </row>
    <row r="214" spans="1:15" x14ac:dyDescent="0.2">
      <c r="A214" s="7">
        <v>2026</v>
      </c>
      <c r="B214" s="7" t="s">
        <v>14</v>
      </c>
      <c r="C214" s="7" t="s">
        <v>435</v>
      </c>
      <c r="D214" s="7" t="s">
        <v>687</v>
      </c>
      <c r="E214" s="7" t="s">
        <v>687</v>
      </c>
      <c r="F214" s="7" t="s">
        <v>435</v>
      </c>
      <c r="G214" s="7" t="s">
        <v>436</v>
      </c>
      <c r="H214" s="8">
        <f>ROUND(SUMPRODUCT(SUMIF(Final!$G$4:$G$330,CashReserveLevy!D214:F214,Final!$C$4:$C$330)),0)</f>
        <v>6571828</v>
      </c>
      <c r="I214" s="8">
        <f t="shared" si="16"/>
        <v>1314366</v>
      </c>
      <c r="J214" s="8">
        <f>ROUND(SUMPRODUCT(SUMIF(Final!$G$4:$G$330,CashReserveLevy!D214:F214,Final!$E$4:$E$330)),0)</f>
        <v>1378086</v>
      </c>
      <c r="K214" s="8">
        <f t="shared" si="17"/>
        <v>0</v>
      </c>
      <c r="L214" s="8">
        <f>INDEX(ActualCRLevy_SAS!$A$2:$D$326,MATCH(CashReserveLevy!$C214,ActualCRLevy_SAS!$B$2:$B$326,0),4)</f>
        <v>0</v>
      </c>
      <c r="M214" s="31" t="str">
        <f t="shared" si="18"/>
        <v/>
      </c>
      <c r="N214" s="1" t="str">
        <f t="shared" si="19"/>
        <v/>
      </c>
      <c r="O214" s="1" t="str">
        <f t="shared" si="20"/>
        <v/>
      </c>
    </row>
    <row r="215" spans="1:15" x14ac:dyDescent="0.2">
      <c r="A215" s="7">
        <v>2026</v>
      </c>
      <c r="B215" s="7" t="s">
        <v>37</v>
      </c>
      <c r="C215" s="7" t="s">
        <v>437</v>
      </c>
      <c r="D215" s="7" t="s">
        <v>687</v>
      </c>
      <c r="E215" s="7" t="s">
        <v>687</v>
      </c>
      <c r="F215" s="7" t="s">
        <v>437</v>
      </c>
      <c r="G215" s="7" t="s">
        <v>438</v>
      </c>
      <c r="H215" s="8">
        <f>ROUND(SUMPRODUCT(SUMIF(Final!$G$4:$G$330,CashReserveLevy!D215:F215,Final!$C$4:$C$330)),0)</f>
        <v>10888135</v>
      </c>
      <c r="I215" s="8">
        <f t="shared" si="16"/>
        <v>2177627</v>
      </c>
      <c r="J215" s="8">
        <f>ROUND(SUMPRODUCT(SUMIF(Final!$G$4:$G$330,CashReserveLevy!D215:F215,Final!$E$4:$E$330)),0)</f>
        <v>1612596</v>
      </c>
      <c r="K215" s="8">
        <f t="shared" si="17"/>
        <v>565031</v>
      </c>
      <c r="L215" s="8">
        <f>INDEX(ActualCRLevy_SAS!$A$2:$D$326,MATCH(CashReserveLevy!$C215,ActualCRLevy_SAS!$B$2:$B$326,0),4)</f>
        <v>95749</v>
      </c>
      <c r="M215" s="31" t="str">
        <f t="shared" si="18"/>
        <v/>
      </c>
      <c r="N215" s="1" t="str">
        <f t="shared" si="19"/>
        <v/>
      </c>
      <c r="O215" s="1" t="str">
        <f t="shared" si="20"/>
        <v/>
      </c>
    </row>
    <row r="216" spans="1:15" x14ac:dyDescent="0.2">
      <c r="A216" s="7">
        <v>2026</v>
      </c>
      <c r="B216" s="7" t="s">
        <v>5</v>
      </c>
      <c r="C216" s="7" t="s">
        <v>440</v>
      </c>
      <c r="D216" s="7" t="s">
        <v>687</v>
      </c>
      <c r="E216" s="7" t="s">
        <v>687</v>
      </c>
      <c r="F216" s="7" t="s">
        <v>440</v>
      </c>
      <c r="G216" s="7" t="s">
        <v>441</v>
      </c>
      <c r="H216" s="8">
        <f>ROUND(SUMPRODUCT(SUMIF(Final!$G$4:$G$330,CashReserveLevy!D216:F216,Final!$C$4:$C$330)),0)</f>
        <v>7462194</v>
      </c>
      <c r="I216" s="8">
        <f t="shared" si="16"/>
        <v>1492439</v>
      </c>
      <c r="J216" s="8">
        <f>ROUND(SUMPRODUCT(SUMIF(Final!$G$4:$G$330,CashReserveLevy!D216:F216,Final!$E$4:$E$330)),0)</f>
        <v>1582268</v>
      </c>
      <c r="K216" s="8">
        <f t="shared" si="17"/>
        <v>0</v>
      </c>
      <c r="L216" s="8">
        <f>INDEX(ActualCRLevy_SAS!$A$2:$D$326,MATCH(CashReserveLevy!$C216,ActualCRLevy_SAS!$B$2:$B$326,0),4)</f>
        <v>0</v>
      </c>
      <c r="M216" s="31" t="str">
        <f t="shared" si="18"/>
        <v/>
      </c>
      <c r="N216" s="1" t="str">
        <f t="shared" si="19"/>
        <v/>
      </c>
      <c r="O216" s="1" t="str">
        <f t="shared" si="20"/>
        <v/>
      </c>
    </row>
    <row r="217" spans="1:15" x14ac:dyDescent="0.2">
      <c r="A217" s="7">
        <v>2026</v>
      </c>
      <c r="B217" s="7" t="s">
        <v>0</v>
      </c>
      <c r="C217" s="7" t="s">
        <v>442</v>
      </c>
      <c r="D217" s="7" t="s">
        <v>687</v>
      </c>
      <c r="E217" s="7" t="s">
        <v>687</v>
      </c>
      <c r="F217" s="7" t="s">
        <v>442</v>
      </c>
      <c r="G217" s="7" t="s">
        <v>443</v>
      </c>
      <c r="H217" s="8">
        <f>ROUND(SUMPRODUCT(SUMIF(Final!$G$4:$G$330,CashReserveLevy!D217:F217,Final!$C$4:$C$330)),0)</f>
        <v>41859776</v>
      </c>
      <c r="I217" s="8">
        <f t="shared" si="16"/>
        <v>8371955</v>
      </c>
      <c r="J217" s="8">
        <f>ROUND(SUMPRODUCT(SUMIF(Final!$G$4:$G$330,CashReserveLevy!D217:F217,Final!$E$4:$E$330)),0)</f>
        <v>8241455</v>
      </c>
      <c r="K217" s="8">
        <f t="shared" si="17"/>
        <v>130500</v>
      </c>
      <c r="L217" s="8">
        <f>INDEX(ActualCRLevy_SAS!$A$2:$D$326,MATCH(CashReserveLevy!$C217,ActualCRLevy_SAS!$B$2:$B$326,0),4)</f>
        <v>130500</v>
      </c>
      <c r="M217" s="31" t="str">
        <f t="shared" si="18"/>
        <v>Max</v>
      </c>
      <c r="N217" s="1" t="str">
        <f t="shared" si="19"/>
        <v/>
      </c>
      <c r="O217" s="1" t="str">
        <f t="shared" si="20"/>
        <v/>
      </c>
    </row>
    <row r="218" spans="1:15" x14ac:dyDescent="0.2">
      <c r="A218" s="7">
        <v>2026</v>
      </c>
      <c r="B218" s="7" t="s">
        <v>11</v>
      </c>
      <c r="C218" s="7" t="s">
        <v>444</v>
      </c>
      <c r="D218" s="7" t="s">
        <v>687</v>
      </c>
      <c r="E218" s="7" t="s">
        <v>687</v>
      </c>
      <c r="F218" s="7" t="s">
        <v>444</v>
      </c>
      <c r="G218" s="7" t="s">
        <v>445</v>
      </c>
      <c r="H218" s="8">
        <f>ROUND(SUMPRODUCT(SUMIF(Final!$G$4:$G$330,CashReserveLevy!D218:F218,Final!$C$4:$C$330)),0)</f>
        <v>11692951</v>
      </c>
      <c r="I218" s="8">
        <f t="shared" si="16"/>
        <v>2338590</v>
      </c>
      <c r="J218" s="8">
        <f>ROUND(SUMPRODUCT(SUMIF(Final!$G$4:$G$330,CashReserveLevy!D218:F218,Final!$E$4:$E$330)),0)</f>
        <v>3682186</v>
      </c>
      <c r="K218" s="8">
        <f t="shared" si="17"/>
        <v>0</v>
      </c>
      <c r="L218" s="8">
        <f>INDEX(ActualCRLevy_SAS!$A$2:$D$326,MATCH(CashReserveLevy!$C218,ActualCRLevy_SAS!$B$2:$B$326,0),4)</f>
        <v>0</v>
      </c>
      <c r="M218" s="31" t="str">
        <f t="shared" si="18"/>
        <v/>
      </c>
      <c r="N218" s="1" t="str">
        <f t="shared" si="19"/>
        <v/>
      </c>
      <c r="O218" s="1" t="str">
        <f t="shared" si="20"/>
        <v/>
      </c>
    </row>
    <row r="219" spans="1:15" x14ac:dyDescent="0.2">
      <c r="A219" s="7">
        <v>2026</v>
      </c>
      <c r="B219" s="7" t="s">
        <v>28</v>
      </c>
      <c r="C219" s="7" t="s">
        <v>446</v>
      </c>
      <c r="D219" s="7" t="s">
        <v>687</v>
      </c>
      <c r="E219" s="7" t="s">
        <v>687</v>
      </c>
      <c r="F219" s="7" t="s">
        <v>446</v>
      </c>
      <c r="G219" s="7" t="s">
        <v>447</v>
      </c>
      <c r="H219" s="8">
        <f>ROUND(SUMPRODUCT(SUMIF(Final!$G$4:$G$330,CashReserveLevy!D219:F219,Final!$C$4:$C$330)),0)</f>
        <v>19042989</v>
      </c>
      <c r="I219" s="8">
        <f t="shared" si="16"/>
        <v>3808598</v>
      </c>
      <c r="J219" s="8">
        <f>ROUND(SUMPRODUCT(SUMIF(Final!$G$4:$G$330,CashReserveLevy!D219:F219,Final!$E$4:$E$330)),0)</f>
        <v>4520194</v>
      </c>
      <c r="K219" s="8">
        <f t="shared" si="17"/>
        <v>0</v>
      </c>
      <c r="L219" s="8">
        <f>INDEX(ActualCRLevy_SAS!$A$2:$D$326,MATCH(CashReserveLevy!$C219,ActualCRLevy_SAS!$B$2:$B$326,0),4)</f>
        <v>0</v>
      </c>
      <c r="M219" s="31" t="str">
        <f t="shared" si="18"/>
        <v/>
      </c>
      <c r="N219" s="1" t="str">
        <f t="shared" si="19"/>
        <v/>
      </c>
      <c r="O219" s="1" t="str">
        <f t="shared" si="20"/>
        <v/>
      </c>
    </row>
    <row r="220" spans="1:15" x14ac:dyDescent="0.2">
      <c r="A220" s="7">
        <v>2026</v>
      </c>
      <c r="B220" s="7" t="s">
        <v>0</v>
      </c>
      <c r="C220" s="7" t="s">
        <v>448</v>
      </c>
      <c r="D220" s="7" t="s">
        <v>687</v>
      </c>
      <c r="E220" s="7" t="s">
        <v>687</v>
      </c>
      <c r="F220" s="7" t="s">
        <v>448</v>
      </c>
      <c r="G220" s="7" t="s">
        <v>449</v>
      </c>
      <c r="H220" s="8">
        <f>ROUND(SUMPRODUCT(SUMIF(Final!$G$4:$G$330,CashReserveLevy!D220:F220,Final!$C$4:$C$330)),0)</f>
        <v>8735038</v>
      </c>
      <c r="I220" s="8">
        <f t="shared" si="16"/>
        <v>1747008</v>
      </c>
      <c r="J220" s="8">
        <f>ROUND(SUMPRODUCT(SUMIF(Final!$G$4:$G$330,CashReserveLevy!D220:F220,Final!$E$4:$E$330)),0)</f>
        <v>3691431</v>
      </c>
      <c r="K220" s="8">
        <f t="shared" si="17"/>
        <v>0</v>
      </c>
      <c r="L220" s="8">
        <f>INDEX(ActualCRLevy_SAS!$A$2:$D$326,MATCH(CashReserveLevy!$C220,ActualCRLevy_SAS!$B$2:$B$326,0),4)</f>
        <v>0</v>
      </c>
      <c r="M220" s="31" t="str">
        <f t="shared" si="18"/>
        <v/>
      </c>
      <c r="N220" s="1" t="str">
        <f t="shared" si="19"/>
        <v/>
      </c>
      <c r="O220" s="1" t="str">
        <f t="shared" si="20"/>
        <v/>
      </c>
    </row>
    <row r="221" spans="1:15" x14ac:dyDescent="0.2">
      <c r="A221" s="7">
        <v>2026</v>
      </c>
      <c r="B221" s="7" t="s">
        <v>14</v>
      </c>
      <c r="C221" s="7" t="s">
        <v>450</v>
      </c>
      <c r="D221" s="7" t="s">
        <v>687</v>
      </c>
      <c r="E221" s="7" t="s">
        <v>687</v>
      </c>
      <c r="F221" s="7" t="s">
        <v>450</v>
      </c>
      <c r="G221" s="7" t="s">
        <v>451</v>
      </c>
      <c r="H221" s="8">
        <f>ROUND(SUMPRODUCT(SUMIF(Final!$G$4:$G$330,CashReserveLevy!D221:F221,Final!$C$4:$C$330)),0)</f>
        <v>15799012</v>
      </c>
      <c r="I221" s="8">
        <f t="shared" si="16"/>
        <v>3159802</v>
      </c>
      <c r="J221" s="8">
        <f>ROUND(SUMPRODUCT(SUMIF(Final!$G$4:$G$330,CashReserveLevy!D221:F221,Final!$E$4:$E$330)),0)</f>
        <v>3286492</v>
      </c>
      <c r="K221" s="8">
        <f t="shared" si="17"/>
        <v>0</v>
      </c>
      <c r="L221" s="8">
        <f>INDEX(ActualCRLevy_SAS!$A$2:$D$326,MATCH(CashReserveLevy!$C221,ActualCRLevy_SAS!$B$2:$B$326,0),4)</f>
        <v>0</v>
      </c>
      <c r="M221" s="31" t="str">
        <f t="shared" si="18"/>
        <v/>
      </c>
      <c r="N221" s="1" t="str">
        <f t="shared" si="19"/>
        <v/>
      </c>
      <c r="O221" s="1" t="str">
        <f t="shared" si="20"/>
        <v/>
      </c>
    </row>
    <row r="222" spans="1:15" x14ac:dyDescent="0.2">
      <c r="A222" s="7">
        <v>2026</v>
      </c>
      <c r="B222" s="7" t="s">
        <v>20</v>
      </c>
      <c r="C222" s="7" t="s">
        <v>452</v>
      </c>
      <c r="D222" s="7" t="s">
        <v>687</v>
      </c>
      <c r="E222" s="7" t="s">
        <v>687</v>
      </c>
      <c r="F222" s="7" t="s">
        <v>452</v>
      </c>
      <c r="G222" s="7" t="s">
        <v>453</v>
      </c>
      <c r="H222" s="8">
        <f>ROUND(SUMPRODUCT(SUMIF(Final!$G$4:$G$330,CashReserveLevy!D222:F222,Final!$C$4:$C$330)),0)</f>
        <v>2951232</v>
      </c>
      <c r="I222" s="8">
        <f t="shared" si="16"/>
        <v>590246</v>
      </c>
      <c r="J222" s="8">
        <f>ROUND(SUMPRODUCT(SUMIF(Final!$G$4:$G$330,CashReserveLevy!D222:F222,Final!$E$4:$E$330)),0)</f>
        <v>2630267</v>
      </c>
      <c r="K222" s="8">
        <f t="shared" si="17"/>
        <v>0</v>
      </c>
      <c r="L222" s="8">
        <f>INDEX(ActualCRLevy_SAS!$A$2:$D$326,MATCH(CashReserveLevy!$C222,ActualCRLevy_SAS!$B$2:$B$326,0),4)</f>
        <v>0</v>
      </c>
      <c r="M222" s="31" t="str">
        <f t="shared" si="18"/>
        <v/>
      </c>
      <c r="N222" s="1" t="str">
        <f t="shared" si="19"/>
        <v/>
      </c>
      <c r="O222" s="1" t="str">
        <f t="shared" si="20"/>
        <v/>
      </c>
    </row>
    <row r="223" spans="1:15" x14ac:dyDescent="0.2">
      <c r="A223" s="7">
        <v>2026</v>
      </c>
      <c r="B223" s="7" t="s">
        <v>8</v>
      </c>
      <c r="C223" s="7" t="s">
        <v>454</v>
      </c>
      <c r="D223" s="7" t="s">
        <v>687</v>
      </c>
      <c r="E223" s="7" t="s">
        <v>687</v>
      </c>
      <c r="F223" s="7" t="s">
        <v>454</v>
      </c>
      <c r="G223" s="7" t="s">
        <v>455</v>
      </c>
      <c r="H223" s="8">
        <f>ROUND(SUMPRODUCT(SUMIF(Final!$G$4:$G$330,CashReserveLevy!D223:F223,Final!$C$4:$C$330)),0)</f>
        <v>3313012</v>
      </c>
      <c r="I223" s="8">
        <f t="shared" si="16"/>
        <v>662602</v>
      </c>
      <c r="J223" s="8">
        <f>ROUND(SUMPRODUCT(SUMIF(Final!$G$4:$G$330,CashReserveLevy!D223:F223,Final!$E$4:$E$330)),0)</f>
        <v>508957</v>
      </c>
      <c r="K223" s="8">
        <f t="shared" si="17"/>
        <v>153645</v>
      </c>
      <c r="L223" s="8">
        <f>INDEX(ActualCRLevy_SAS!$A$2:$D$326,MATCH(CashReserveLevy!$C223,ActualCRLevy_SAS!$B$2:$B$326,0),4)</f>
        <v>153645</v>
      </c>
      <c r="M223" s="31" t="str">
        <f t="shared" si="18"/>
        <v>Max</v>
      </c>
      <c r="N223" s="1" t="str">
        <f t="shared" si="19"/>
        <v/>
      </c>
      <c r="O223" s="1" t="str">
        <f t="shared" si="20"/>
        <v/>
      </c>
    </row>
    <row r="224" spans="1:15" x14ac:dyDescent="0.2">
      <c r="A224" s="7">
        <v>2026</v>
      </c>
      <c r="B224" s="7" t="s">
        <v>5</v>
      </c>
      <c r="C224" s="7" t="s">
        <v>456</v>
      </c>
      <c r="D224" s="7" t="s">
        <v>687</v>
      </c>
      <c r="E224" s="7" t="s">
        <v>687</v>
      </c>
      <c r="F224" s="7" t="s">
        <v>456</v>
      </c>
      <c r="G224" s="7" t="s">
        <v>457</v>
      </c>
      <c r="H224" s="8">
        <f>ROUND(SUMPRODUCT(SUMIF(Final!$G$4:$G$330,CashReserveLevy!D224:F224,Final!$C$4:$C$330)),0)</f>
        <v>12965874</v>
      </c>
      <c r="I224" s="8">
        <f t="shared" si="16"/>
        <v>2593175</v>
      </c>
      <c r="J224" s="8">
        <f>ROUND(SUMPRODUCT(SUMIF(Final!$G$4:$G$330,CashReserveLevy!D224:F224,Final!$E$4:$E$330)),0)</f>
        <v>1392340</v>
      </c>
      <c r="K224" s="8">
        <f t="shared" si="17"/>
        <v>1200835</v>
      </c>
      <c r="L224" s="8">
        <f>INDEX(ActualCRLevy_SAS!$A$2:$D$326,MATCH(CashReserveLevy!$C224,ActualCRLevy_SAS!$B$2:$B$326,0),4)</f>
        <v>729729</v>
      </c>
      <c r="M224" s="31" t="str">
        <f t="shared" si="18"/>
        <v/>
      </c>
      <c r="N224" s="1" t="str">
        <f t="shared" si="19"/>
        <v/>
      </c>
      <c r="O224" s="1" t="str">
        <f t="shared" si="20"/>
        <v/>
      </c>
    </row>
    <row r="225" spans="1:15" x14ac:dyDescent="0.2">
      <c r="A225" s="7">
        <v>2026</v>
      </c>
      <c r="B225" s="7" t="s">
        <v>17</v>
      </c>
      <c r="C225" s="7" t="s">
        <v>458</v>
      </c>
      <c r="D225" s="7" t="s">
        <v>687</v>
      </c>
      <c r="E225" s="7" t="s">
        <v>687</v>
      </c>
      <c r="F225" s="7" t="s">
        <v>458</v>
      </c>
      <c r="G225" s="7" t="s">
        <v>459</v>
      </c>
      <c r="H225" s="8">
        <f>ROUND(SUMPRODUCT(SUMIF(Final!$G$4:$G$330,CashReserveLevy!D225:F225,Final!$C$4:$C$330)),0)</f>
        <v>32078693</v>
      </c>
      <c r="I225" s="8">
        <f t="shared" si="16"/>
        <v>6415739</v>
      </c>
      <c r="J225" s="8">
        <f>ROUND(SUMPRODUCT(SUMIF(Final!$G$4:$G$330,CashReserveLevy!D225:F225,Final!$E$4:$E$330)),0)</f>
        <v>1989338</v>
      </c>
      <c r="K225" s="8">
        <f t="shared" si="17"/>
        <v>4426401</v>
      </c>
      <c r="L225" s="8">
        <f>INDEX(ActualCRLevy_SAS!$A$2:$D$326,MATCH(CashReserveLevy!$C225,ActualCRLevy_SAS!$B$2:$B$326,0),4)</f>
        <v>1645836</v>
      </c>
      <c r="M225" s="31" t="str">
        <f t="shared" si="18"/>
        <v/>
      </c>
      <c r="N225" s="1" t="str">
        <f t="shared" si="19"/>
        <v/>
      </c>
      <c r="O225" s="1" t="str">
        <f t="shared" si="20"/>
        <v/>
      </c>
    </row>
    <row r="226" spans="1:15" x14ac:dyDescent="0.2">
      <c r="A226" s="7">
        <v>2026</v>
      </c>
      <c r="B226" s="7" t="s">
        <v>17</v>
      </c>
      <c r="C226" s="7" t="s">
        <v>460</v>
      </c>
      <c r="D226" s="7" t="s">
        <v>687</v>
      </c>
      <c r="E226" s="7" t="s">
        <v>687</v>
      </c>
      <c r="F226" s="7" t="s">
        <v>460</v>
      </c>
      <c r="G226" s="7" t="s">
        <v>461</v>
      </c>
      <c r="H226" s="8">
        <f>ROUND(SUMPRODUCT(SUMIF(Final!$G$4:$G$330,CashReserveLevy!D226:F226,Final!$C$4:$C$330)),0)</f>
        <v>68441776</v>
      </c>
      <c r="I226" s="8">
        <f t="shared" si="16"/>
        <v>13688355</v>
      </c>
      <c r="J226" s="8">
        <f>ROUND(SUMPRODUCT(SUMIF(Final!$G$4:$G$330,CashReserveLevy!D226:F226,Final!$E$4:$E$330)),0)</f>
        <v>6648890</v>
      </c>
      <c r="K226" s="8">
        <f t="shared" si="17"/>
        <v>7039465</v>
      </c>
      <c r="L226" s="8">
        <f>INDEX(ActualCRLevy_SAS!$A$2:$D$326,MATCH(CashReserveLevy!$C226,ActualCRLevy_SAS!$B$2:$B$326,0),4)</f>
        <v>2090000</v>
      </c>
      <c r="M226" s="31" t="str">
        <f t="shared" si="18"/>
        <v/>
      </c>
      <c r="N226" s="1" t="str">
        <f t="shared" si="19"/>
        <v/>
      </c>
      <c r="O226" s="1" t="str">
        <f t="shared" si="20"/>
        <v/>
      </c>
    </row>
    <row r="227" spans="1:15" x14ac:dyDescent="0.2">
      <c r="A227" s="7">
        <v>2026</v>
      </c>
      <c r="B227" s="7" t="s">
        <v>0</v>
      </c>
      <c r="C227" s="7" t="s">
        <v>462</v>
      </c>
      <c r="D227" s="7" t="s">
        <v>687</v>
      </c>
      <c r="E227" s="7" t="s">
        <v>687</v>
      </c>
      <c r="F227" s="7" t="s">
        <v>462</v>
      </c>
      <c r="G227" s="7" t="s">
        <v>463</v>
      </c>
      <c r="H227" s="8">
        <f>ROUND(SUMPRODUCT(SUMIF(Final!$G$4:$G$330,CashReserveLevy!D227:F227,Final!$C$4:$C$330)),0)</f>
        <v>9467178</v>
      </c>
      <c r="I227" s="8">
        <f t="shared" si="16"/>
        <v>1893436</v>
      </c>
      <c r="J227" s="8">
        <f>ROUND(SUMPRODUCT(SUMIF(Final!$G$4:$G$330,CashReserveLevy!D227:F227,Final!$E$4:$E$330)),0)</f>
        <v>1463713</v>
      </c>
      <c r="K227" s="8">
        <f t="shared" si="17"/>
        <v>429723</v>
      </c>
      <c r="L227" s="8">
        <f>INDEX(ActualCRLevy_SAS!$A$2:$D$326,MATCH(CashReserveLevy!$C227,ActualCRLevy_SAS!$B$2:$B$326,0),4)</f>
        <v>429723</v>
      </c>
      <c r="M227" s="31" t="str">
        <f t="shared" si="18"/>
        <v>Max</v>
      </c>
      <c r="N227" s="1" t="str">
        <f t="shared" si="19"/>
        <v/>
      </c>
      <c r="O227" s="1" t="str">
        <f t="shared" si="20"/>
        <v/>
      </c>
    </row>
    <row r="228" spans="1:15" x14ac:dyDescent="0.2">
      <c r="A228" s="7">
        <v>2026</v>
      </c>
      <c r="B228" s="7" t="s">
        <v>14</v>
      </c>
      <c r="C228" s="7" t="s">
        <v>464</v>
      </c>
      <c r="D228" s="7" t="s">
        <v>687</v>
      </c>
      <c r="E228" s="7" t="s">
        <v>687</v>
      </c>
      <c r="F228" s="7" t="s">
        <v>464</v>
      </c>
      <c r="G228" s="7" t="s">
        <v>465</v>
      </c>
      <c r="H228" s="8">
        <f>ROUND(SUMPRODUCT(SUMIF(Final!$G$4:$G$330,CashReserveLevy!D228:F228,Final!$C$4:$C$330)),0)</f>
        <v>3513211</v>
      </c>
      <c r="I228" s="8">
        <f t="shared" si="16"/>
        <v>702642</v>
      </c>
      <c r="J228" s="8">
        <f>ROUND(SUMPRODUCT(SUMIF(Final!$G$4:$G$330,CashReserveLevy!D228:F228,Final!$E$4:$E$330)),0)</f>
        <v>-38744</v>
      </c>
      <c r="K228" s="8">
        <f t="shared" si="17"/>
        <v>741386</v>
      </c>
      <c r="L228" s="8">
        <f>INDEX(ActualCRLevy_SAS!$A$2:$D$326,MATCH(CashReserveLevy!$C228,ActualCRLevy_SAS!$B$2:$B$326,0),4)</f>
        <v>410000</v>
      </c>
      <c r="M228" s="31" t="str">
        <f t="shared" si="18"/>
        <v/>
      </c>
      <c r="N228" s="1" t="str">
        <f t="shared" si="19"/>
        <v/>
      </c>
      <c r="O228" s="1" t="str">
        <f t="shared" si="20"/>
        <v/>
      </c>
    </row>
    <row r="229" spans="1:15" x14ac:dyDescent="0.2">
      <c r="A229" s="7">
        <v>2026</v>
      </c>
      <c r="B229" s="7" t="s">
        <v>0</v>
      </c>
      <c r="C229" s="7" t="s">
        <v>466</v>
      </c>
      <c r="D229" s="7" t="s">
        <v>687</v>
      </c>
      <c r="E229" s="7" t="s">
        <v>687</v>
      </c>
      <c r="F229" s="7" t="s">
        <v>467</v>
      </c>
      <c r="G229" s="7" t="s">
        <v>468</v>
      </c>
      <c r="H229" s="8">
        <f>ROUND(SUMPRODUCT(SUMIF(Final!$G$4:$G$330,CashReserveLevy!D229:F229,Final!$C$4:$C$330)),0)</f>
        <v>13993715</v>
      </c>
      <c r="I229" s="8">
        <f t="shared" si="16"/>
        <v>2798743</v>
      </c>
      <c r="J229" s="8">
        <f>ROUND(SUMPRODUCT(SUMIF(Final!$G$4:$G$330,CashReserveLevy!D229:F229,Final!$E$4:$E$330)),0)</f>
        <v>2464446</v>
      </c>
      <c r="K229" s="8">
        <f t="shared" si="17"/>
        <v>334297</v>
      </c>
      <c r="L229" s="8">
        <f>INDEX(ActualCRLevy_SAS!$A$2:$D$326,MATCH(CashReserveLevy!$C229,ActualCRLevy_SAS!$B$2:$B$326,0),4)</f>
        <v>334297</v>
      </c>
      <c r="M229" s="31" t="str">
        <f t="shared" si="18"/>
        <v>Max</v>
      </c>
      <c r="N229" s="1" t="str">
        <f t="shared" si="19"/>
        <v/>
      </c>
      <c r="O229" s="1" t="str">
        <f t="shared" si="20"/>
        <v/>
      </c>
    </row>
    <row r="230" spans="1:15" x14ac:dyDescent="0.2">
      <c r="A230" s="7">
        <v>2026</v>
      </c>
      <c r="B230" s="7" t="s">
        <v>17</v>
      </c>
      <c r="C230" s="7" t="s">
        <v>469</v>
      </c>
      <c r="D230" s="7" t="s">
        <v>687</v>
      </c>
      <c r="E230" s="7" t="s">
        <v>687</v>
      </c>
      <c r="F230" s="7" t="s">
        <v>469</v>
      </c>
      <c r="G230" s="7" t="s">
        <v>470</v>
      </c>
      <c r="H230" s="8">
        <f>ROUND(SUMPRODUCT(SUMIF(Final!$G$4:$G$330,CashReserveLevy!D230:F230,Final!$C$4:$C$330)),0)</f>
        <v>9346786</v>
      </c>
      <c r="I230" s="8">
        <f t="shared" si="16"/>
        <v>1869357</v>
      </c>
      <c r="J230" s="8">
        <f>ROUND(SUMPRODUCT(SUMIF(Final!$G$4:$G$330,CashReserveLevy!D230:F230,Final!$E$4:$E$330)),0)</f>
        <v>1021173</v>
      </c>
      <c r="K230" s="8">
        <f t="shared" si="17"/>
        <v>848184</v>
      </c>
      <c r="L230" s="8">
        <f>INDEX(ActualCRLevy_SAS!$A$2:$D$326,MATCH(CashReserveLevy!$C230,ActualCRLevy_SAS!$B$2:$B$326,0),4)</f>
        <v>600000</v>
      </c>
      <c r="M230" s="31" t="str">
        <f t="shared" si="18"/>
        <v/>
      </c>
      <c r="N230" s="1" t="str">
        <f t="shared" si="19"/>
        <v/>
      </c>
      <c r="O230" s="1" t="str">
        <f t="shared" si="20"/>
        <v/>
      </c>
    </row>
    <row r="231" spans="1:15" x14ac:dyDescent="0.2">
      <c r="A231" s="7">
        <v>2026</v>
      </c>
      <c r="B231" s="7" t="s">
        <v>0</v>
      </c>
      <c r="C231" s="7" t="s">
        <v>471</v>
      </c>
      <c r="D231" s="7" t="s">
        <v>687</v>
      </c>
      <c r="E231" s="7" t="s">
        <v>687</v>
      </c>
      <c r="F231" s="7" t="s">
        <v>471</v>
      </c>
      <c r="G231" s="7" t="s">
        <v>472</v>
      </c>
      <c r="H231" s="8">
        <f>ROUND(SUMPRODUCT(SUMIF(Final!$G$4:$G$330,CashReserveLevy!D231:F231,Final!$C$4:$C$330)),0)</f>
        <v>31985625</v>
      </c>
      <c r="I231" s="8">
        <f t="shared" si="16"/>
        <v>6397125</v>
      </c>
      <c r="J231" s="8">
        <f>ROUND(SUMPRODUCT(SUMIF(Final!$G$4:$G$330,CashReserveLevy!D231:F231,Final!$E$4:$E$330)),0)</f>
        <v>2262690</v>
      </c>
      <c r="K231" s="8">
        <f t="shared" si="17"/>
        <v>4134435</v>
      </c>
      <c r="L231" s="8">
        <f>INDEX(ActualCRLevy_SAS!$A$2:$D$326,MATCH(CashReserveLevy!$C231,ActualCRLevy_SAS!$B$2:$B$326,0),4)</f>
        <v>1258142</v>
      </c>
      <c r="M231" s="31" t="str">
        <f t="shared" si="18"/>
        <v/>
      </c>
      <c r="N231" s="1" t="str">
        <f t="shared" si="19"/>
        <v/>
      </c>
      <c r="O231" s="1" t="str">
        <f t="shared" si="20"/>
        <v/>
      </c>
    </row>
    <row r="232" spans="1:15" x14ac:dyDescent="0.2">
      <c r="A232" s="7">
        <v>2026</v>
      </c>
      <c r="B232" s="7" t="s">
        <v>0</v>
      </c>
      <c r="C232" s="7" t="s">
        <v>473</v>
      </c>
      <c r="D232" s="7" t="s">
        <v>687</v>
      </c>
      <c r="E232" s="7" t="s">
        <v>687</v>
      </c>
      <c r="F232" s="7" t="s">
        <v>473</v>
      </c>
      <c r="G232" s="7" t="s">
        <v>474</v>
      </c>
      <c r="H232" s="8">
        <f>ROUND(SUMPRODUCT(SUMIF(Final!$G$4:$G$330,CashReserveLevy!D232:F232,Final!$C$4:$C$330)),0)</f>
        <v>27730643</v>
      </c>
      <c r="I232" s="8">
        <f t="shared" si="16"/>
        <v>5546129</v>
      </c>
      <c r="J232" s="8">
        <f>ROUND(SUMPRODUCT(SUMIF(Final!$G$4:$G$330,CashReserveLevy!D232:F232,Final!$E$4:$E$330)),0)</f>
        <v>2295506</v>
      </c>
      <c r="K232" s="8">
        <f t="shared" si="17"/>
        <v>3250623</v>
      </c>
      <c r="L232" s="8">
        <f>INDEX(ActualCRLevy_SAS!$A$2:$D$326,MATCH(CashReserveLevy!$C232,ActualCRLevy_SAS!$B$2:$B$326,0),4)</f>
        <v>1285031</v>
      </c>
      <c r="M232" s="31" t="str">
        <f t="shared" si="18"/>
        <v/>
      </c>
      <c r="N232" s="1" t="str">
        <f t="shared" si="19"/>
        <v/>
      </c>
      <c r="O232" s="1" t="str">
        <f t="shared" si="20"/>
        <v/>
      </c>
    </row>
    <row r="233" spans="1:15" x14ac:dyDescent="0.2">
      <c r="A233" s="7">
        <v>2026</v>
      </c>
      <c r="B233" s="7" t="s">
        <v>37</v>
      </c>
      <c r="C233" s="7" t="s">
        <v>475</v>
      </c>
      <c r="D233" s="7" t="s">
        <v>687</v>
      </c>
      <c r="E233" s="7" t="s">
        <v>687</v>
      </c>
      <c r="F233" s="7" t="s">
        <v>475</v>
      </c>
      <c r="G233" s="7" t="s">
        <v>476</v>
      </c>
      <c r="H233" s="8">
        <f>ROUND(SUMPRODUCT(SUMIF(Final!$G$4:$G$330,CashReserveLevy!D233:F233,Final!$C$4:$C$330)),0)</f>
        <v>66797984</v>
      </c>
      <c r="I233" s="8">
        <f t="shared" si="16"/>
        <v>13359597</v>
      </c>
      <c r="J233" s="8">
        <f>ROUND(SUMPRODUCT(SUMIF(Final!$G$4:$G$330,CashReserveLevy!D233:F233,Final!$E$4:$E$330)),0)</f>
        <v>13544629</v>
      </c>
      <c r="K233" s="8">
        <f t="shared" si="17"/>
        <v>0</v>
      </c>
      <c r="L233" s="8">
        <f>INDEX(ActualCRLevy_SAS!$A$2:$D$326,MATCH(CashReserveLevy!$C233,ActualCRLevy_SAS!$B$2:$B$326,0),4)</f>
        <v>0</v>
      </c>
      <c r="M233" s="31" t="str">
        <f t="shared" si="18"/>
        <v/>
      </c>
      <c r="N233" s="1" t="str">
        <f t="shared" si="19"/>
        <v/>
      </c>
      <c r="O233" s="1" t="str">
        <f t="shared" si="20"/>
        <v/>
      </c>
    </row>
    <row r="234" spans="1:15" x14ac:dyDescent="0.2">
      <c r="A234" s="7">
        <v>2026</v>
      </c>
      <c r="B234" s="7" t="s">
        <v>0</v>
      </c>
      <c r="C234" s="7" t="s">
        <v>477</v>
      </c>
      <c r="D234" s="7" t="s">
        <v>687</v>
      </c>
      <c r="E234" s="7" t="s">
        <v>687</v>
      </c>
      <c r="F234" s="7" t="s">
        <v>477</v>
      </c>
      <c r="G234" s="7" t="s">
        <v>478</v>
      </c>
      <c r="H234" s="8">
        <f>ROUND(SUMPRODUCT(SUMIF(Final!$G$4:$G$330,CashReserveLevy!D234:F234,Final!$C$4:$C$330)),0)</f>
        <v>9572872</v>
      </c>
      <c r="I234" s="8">
        <f t="shared" si="16"/>
        <v>1914574</v>
      </c>
      <c r="J234" s="8">
        <f>ROUND(SUMPRODUCT(SUMIF(Final!$G$4:$G$330,CashReserveLevy!D234:F234,Final!$E$4:$E$330)),0)</f>
        <v>2261752</v>
      </c>
      <c r="K234" s="8">
        <f t="shared" si="17"/>
        <v>0</v>
      </c>
      <c r="L234" s="8">
        <f>INDEX(ActualCRLevy_SAS!$A$2:$D$326,MATCH(CashReserveLevy!$C234,ActualCRLevy_SAS!$B$2:$B$326,0),4)</f>
        <v>0</v>
      </c>
      <c r="M234" s="31" t="str">
        <f t="shared" si="18"/>
        <v/>
      </c>
      <c r="N234" s="1" t="str">
        <f t="shared" si="19"/>
        <v/>
      </c>
      <c r="O234" s="1" t="str">
        <f t="shared" si="20"/>
        <v/>
      </c>
    </row>
    <row r="235" spans="1:15" x14ac:dyDescent="0.2">
      <c r="A235" s="7">
        <v>2026</v>
      </c>
      <c r="B235" s="7" t="s">
        <v>14</v>
      </c>
      <c r="C235" s="7" t="s">
        <v>479</v>
      </c>
      <c r="D235" s="7" t="s">
        <v>687</v>
      </c>
      <c r="E235" s="7" t="s">
        <v>687</v>
      </c>
      <c r="F235" s="7" t="s">
        <v>479</v>
      </c>
      <c r="G235" s="7" t="s">
        <v>480</v>
      </c>
      <c r="H235" s="8">
        <f>ROUND(SUMPRODUCT(SUMIF(Final!$G$4:$G$330,CashReserveLevy!D235:F235,Final!$C$4:$C$330)),0)</f>
        <v>11196984</v>
      </c>
      <c r="I235" s="8">
        <f t="shared" si="16"/>
        <v>2239397</v>
      </c>
      <c r="J235" s="8">
        <f>ROUND(SUMPRODUCT(SUMIF(Final!$G$4:$G$330,CashReserveLevy!D235:F235,Final!$E$4:$E$330)),0)</f>
        <v>2685158</v>
      </c>
      <c r="K235" s="8">
        <f t="shared" si="17"/>
        <v>0</v>
      </c>
      <c r="L235" s="8">
        <f>INDEX(ActualCRLevy_SAS!$A$2:$D$326,MATCH(CashReserveLevy!$C235,ActualCRLevy_SAS!$B$2:$B$326,0),4)</f>
        <v>0</v>
      </c>
      <c r="M235" s="31" t="str">
        <f t="shared" si="18"/>
        <v/>
      </c>
      <c r="N235" s="1" t="str">
        <f t="shared" si="19"/>
        <v/>
      </c>
      <c r="O235" s="1" t="str">
        <f t="shared" si="20"/>
        <v/>
      </c>
    </row>
    <row r="236" spans="1:15" x14ac:dyDescent="0.2">
      <c r="A236" s="7">
        <v>2026</v>
      </c>
      <c r="B236" s="7" t="s">
        <v>28</v>
      </c>
      <c r="C236" s="7" t="s">
        <v>481</v>
      </c>
      <c r="D236" s="7" t="s">
        <v>687</v>
      </c>
      <c r="E236" s="7" t="s">
        <v>687</v>
      </c>
      <c r="F236" s="7" t="s">
        <v>481</v>
      </c>
      <c r="G236" s="7" t="s">
        <v>482</v>
      </c>
      <c r="H236" s="8">
        <f>ROUND(SUMPRODUCT(SUMIF(Final!$G$4:$G$330,CashReserveLevy!D236:F236,Final!$C$4:$C$330)),0)</f>
        <v>10425795</v>
      </c>
      <c r="I236" s="8">
        <f t="shared" si="16"/>
        <v>2085159</v>
      </c>
      <c r="J236" s="8">
        <f>ROUND(SUMPRODUCT(SUMIF(Final!$G$4:$G$330,CashReserveLevy!D236:F236,Final!$E$4:$E$330)),0)</f>
        <v>2667457</v>
      </c>
      <c r="K236" s="8">
        <f t="shared" si="17"/>
        <v>0</v>
      </c>
      <c r="L236" s="8">
        <f>INDEX(ActualCRLevy_SAS!$A$2:$D$326,MATCH(CashReserveLevy!$C236,ActualCRLevy_SAS!$B$2:$B$326,0),4)</f>
        <v>0</v>
      </c>
      <c r="M236" s="31" t="str">
        <f t="shared" si="18"/>
        <v/>
      </c>
      <c r="N236" s="1" t="str">
        <f t="shared" si="19"/>
        <v/>
      </c>
      <c r="O236" s="1" t="str">
        <f t="shared" si="20"/>
        <v/>
      </c>
    </row>
    <row r="237" spans="1:15" x14ac:dyDescent="0.2">
      <c r="A237" s="7">
        <v>2026</v>
      </c>
      <c r="B237" s="7" t="s">
        <v>8</v>
      </c>
      <c r="C237" s="7" t="s">
        <v>484</v>
      </c>
      <c r="D237" s="7" t="s">
        <v>687</v>
      </c>
      <c r="E237" s="7" t="s">
        <v>687</v>
      </c>
      <c r="F237" s="7" t="s">
        <v>484</v>
      </c>
      <c r="G237" s="7" t="s">
        <v>485</v>
      </c>
      <c r="H237" s="8">
        <f>ROUND(SUMPRODUCT(SUMIF(Final!$G$4:$G$330,CashReserveLevy!D237:F237,Final!$C$4:$C$330)),0)</f>
        <v>14535911</v>
      </c>
      <c r="I237" s="8">
        <f t="shared" si="16"/>
        <v>2907182</v>
      </c>
      <c r="J237" s="8">
        <f>ROUND(SUMPRODUCT(SUMIF(Final!$G$4:$G$330,CashReserveLevy!D237:F237,Final!$E$4:$E$330)),0)</f>
        <v>3324189</v>
      </c>
      <c r="K237" s="8">
        <f t="shared" si="17"/>
        <v>0</v>
      </c>
      <c r="L237" s="8">
        <f>INDEX(ActualCRLevy_SAS!$A$2:$D$326,MATCH(CashReserveLevy!$C237,ActualCRLevy_SAS!$B$2:$B$326,0),4)</f>
        <v>0</v>
      </c>
      <c r="M237" s="31" t="str">
        <f t="shared" si="18"/>
        <v/>
      </c>
      <c r="N237" s="1" t="str">
        <f t="shared" si="19"/>
        <v/>
      </c>
      <c r="O237" s="1" t="str">
        <f t="shared" si="20"/>
        <v/>
      </c>
    </row>
    <row r="238" spans="1:15" x14ac:dyDescent="0.2">
      <c r="A238" s="7">
        <v>2026</v>
      </c>
      <c r="B238" s="7" t="s">
        <v>11</v>
      </c>
      <c r="C238" s="7" t="s">
        <v>486</v>
      </c>
      <c r="D238" s="7" t="s">
        <v>687</v>
      </c>
      <c r="E238" s="7" t="s">
        <v>687</v>
      </c>
      <c r="F238" s="7" t="s">
        <v>486</v>
      </c>
      <c r="G238" s="7" t="s">
        <v>487</v>
      </c>
      <c r="H238" s="8">
        <f>ROUND(SUMPRODUCT(SUMIF(Final!$G$4:$G$330,CashReserveLevy!D238:F238,Final!$C$4:$C$330)),0)</f>
        <v>5751628</v>
      </c>
      <c r="I238" s="8">
        <f t="shared" si="16"/>
        <v>1150326</v>
      </c>
      <c r="J238" s="8">
        <f>ROUND(SUMPRODUCT(SUMIF(Final!$G$4:$G$330,CashReserveLevy!D238:F238,Final!$E$4:$E$330)),0)</f>
        <v>1670786</v>
      </c>
      <c r="K238" s="8">
        <f t="shared" si="17"/>
        <v>0</v>
      </c>
      <c r="L238" s="8">
        <f>INDEX(ActualCRLevy_SAS!$A$2:$D$326,MATCH(CashReserveLevy!$C238,ActualCRLevy_SAS!$B$2:$B$326,0),4)</f>
        <v>0</v>
      </c>
      <c r="M238" s="31" t="str">
        <f t="shared" si="18"/>
        <v/>
      </c>
      <c r="N238" s="1" t="str">
        <f t="shared" si="19"/>
        <v/>
      </c>
      <c r="O238" s="1" t="str">
        <f t="shared" si="20"/>
        <v/>
      </c>
    </row>
    <row r="239" spans="1:15" x14ac:dyDescent="0.2">
      <c r="A239" s="7">
        <v>2026</v>
      </c>
      <c r="B239" s="7" t="s">
        <v>28</v>
      </c>
      <c r="C239" s="7" t="s">
        <v>488</v>
      </c>
      <c r="D239" s="7" t="s">
        <v>687</v>
      </c>
      <c r="E239" s="7" t="s">
        <v>687</v>
      </c>
      <c r="F239" s="7" t="s">
        <v>488</v>
      </c>
      <c r="G239" s="7" t="s">
        <v>489</v>
      </c>
      <c r="H239" s="8">
        <f>ROUND(SUMPRODUCT(SUMIF(Final!$G$4:$G$330,CashReserveLevy!D239:F239,Final!$C$4:$C$330)),0)</f>
        <v>6143750</v>
      </c>
      <c r="I239" s="8">
        <f t="shared" si="16"/>
        <v>1228750</v>
      </c>
      <c r="J239" s="8">
        <f>ROUND(SUMPRODUCT(SUMIF(Final!$G$4:$G$330,CashReserveLevy!D239:F239,Final!$E$4:$E$330)),0)</f>
        <v>1132113</v>
      </c>
      <c r="K239" s="8">
        <f t="shared" si="17"/>
        <v>96637</v>
      </c>
      <c r="L239" s="8">
        <f>INDEX(ActualCRLevy_SAS!$A$2:$D$326,MATCH(CashReserveLevy!$C239,ActualCRLevy_SAS!$B$2:$B$326,0),4)</f>
        <v>96637</v>
      </c>
      <c r="M239" s="31" t="str">
        <f t="shared" si="18"/>
        <v>Max</v>
      </c>
      <c r="N239" s="1" t="str">
        <f t="shared" si="19"/>
        <v/>
      </c>
      <c r="O239" s="1" t="str">
        <f t="shared" si="20"/>
        <v/>
      </c>
    </row>
    <row r="240" spans="1:15" x14ac:dyDescent="0.2">
      <c r="A240" s="7">
        <v>2026</v>
      </c>
      <c r="B240" s="7" t="s">
        <v>11</v>
      </c>
      <c r="C240" s="7" t="s">
        <v>490</v>
      </c>
      <c r="D240" s="7" t="s">
        <v>687</v>
      </c>
      <c r="E240" s="7" t="s">
        <v>687</v>
      </c>
      <c r="F240" s="7" t="s">
        <v>490</v>
      </c>
      <c r="G240" s="7" t="s">
        <v>491</v>
      </c>
      <c r="H240" s="8">
        <f>ROUND(SUMPRODUCT(SUMIF(Final!$G$4:$G$330,CashReserveLevy!D240:F240,Final!$C$4:$C$330)),0)</f>
        <v>6378147</v>
      </c>
      <c r="I240" s="8">
        <f t="shared" si="16"/>
        <v>1275629</v>
      </c>
      <c r="J240" s="8">
        <f>ROUND(SUMPRODUCT(SUMIF(Final!$G$4:$G$330,CashReserveLevy!D240:F240,Final!$E$4:$E$330)),0)</f>
        <v>784914</v>
      </c>
      <c r="K240" s="8">
        <f t="shared" si="17"/>
        <v>490715</v>
      </c>
      <c r="L240" s="8">
        <f>INDEX(ActualCRLevy_SAS!$A$2:$D$326,MATCH(CashReserveLevy!$C240,ActualCRLevy_SAS!$B$2:$B$326,0),4)</f>
        <v>490715</v>
      </c>
      <c r="M240" s="31" t="str">
        <f t="shared" si="18"/>
        <v>Max</v>
      </c>
      <c r="N240" s="1" t="str">
        <f t="shared" si="19"/>
        <v/>
      </c>
      <c r="O240" s="1" t="str">
        <f t="shared" si="20"/>
        <v/>
      </c>
    </row>
    <row r="241" spans="1:15" x14ac:dyDescent="0.2">
      <c r="A241" s="7">
        <v>2026</v>
      </c>
      <c r="B241" s="7" t="s">
        <v>8</v>
      </c>
      <c r="C241" s="7" t="s">
        <v>492</v>
      </c>
      <c r="D241" s="7" t="s">
        <v>687</v>
      </c>
      <c r="E241" s="7" t="s">
        <v>687</v>
      </c>
      <c r="F241" s="7" t="s">
        <v>493</v>
      </c>
      <c r="G241" s="7" t="s">
        <v>494</v>
      </c>
      <c r="H241" s="8">
        <f>ROUND(SUMPRODUCT(SUMIF(Final!$G$4:$G$330,CashReserveLevy!D241:F241,Final!$C$4:$C$330)),0)</f>
        <v>10875037</v>
      </c>
      <c r="I241" s="8">
        <f t="shared" si="16"/>
        <v>2175007</v>
      </c>
      <c r="J241" s="8">
        <f>ROUND(SUMPRODUCT(SUMIF(Final!$G$4:$G$330,CashReserveLevy!D241:F241,Final!$E$4:$E$330)),0)</f>
        <v>972296</v>
      </c>
      <c r="K241" s="8">
        <f t="shared" si="17"/>
        <v>1202711</v>
      </c>
      <c r="L241" s="8">
        <f>INDEX(ActualCRLevy_SAS!$A$2:$D$326,MATCH(CashReserveLevy!$C241,ActualCRLevy_SAS!$B$2:$B$326,0),4)</f>
        <v>1050000</v>
      </c>
      <c r="M241" s="31" t="str">
        <f t="shared" si="18"/>
        <v/>
      </c>
      <c r="N241" s="1" t="str">
        <f t="shared" si="19"/>
        <v/>
      </c>
      <c r="O241" s="1" t="str">
        <f t="shared" si="20"/>
        <v/>
      </c>
    </row>
    <row r="242" spans="1:15" x14ac:dyDescent="0.2">
      <c r="A242" s="7">
        <v>2026</v>
      </c>
      <c r="B242" s="7" t="s">
        <v>11</v>
      </c>
      <c r="C242" s="7" t="s">
        <v>495</v>
      </c>
      <c r="D242" s="7" t="s">
        <v>687</v>
      </c>
      <c r="E242" s="7" t="s">
        <v>687</v>
      </c>
      <c r="F242" s="7" t="s">
        <v>495</v>
      </c>
      <c r="G242" s="7" t="s">
        <v>496</v>
      </c>
      <c r="H242" s="8">
        <f>ROUND(SUMPRODUCT(SUMIF(Final!$G$4:$G$330,CashReserveLevy!D242:F242,Final!$C$4:$C$330)),0)</f>
        <v>11562591</v>
      </c>
      <c r="I242" s="8">
        <f t="shared" si="16"/>
        <v>2312518</v>
      </c>
      <c r="J242" s="8">
        <f>ROUND(SUMPRODUCT(SUMIF(Final!$G$4:$G$330,CashReserveLevy!D242:F242,Final!$E$4:$E$330)),0)</f>
        <v>3807387</v>
      </c>
      <c r="K242" s="8">
        <f t="shared" si="17"/>
        <v>0</v>
      </c>
      <c r="L242" s="8">
        <f>INDEX(ActualCRLevy_SAS!$A$2:$D$326,MATCH(CashReserveLevy!$C242,ActualCRLevy_SAS!$B$2:$B$326,0),4)</f>
        <v>0</v>
      </c>
      <c r="M242" s="31" t="str">
        <f t="shared" si="18"/>
        <v/>
      </c>
      <c r="N242" s="1" t="str">
        <f t="shared" si="19"/>
        <v/>
      </c>
      <c r="O242" s="1" t="str">
        <f t="shared" si="20"/>
        <v/>
      </c>
    </row>
    <row r="243" spans="1:15" x14ac:dyDescent="0.2">
      <c r="A243" s="7">
        <v>2026</v>
      </c>
      <c r="B243" s="7" t="s">
        <v>0</v>
      </c>
      <c r="C243" s="7" t="s">
        <v>497</v>
      </c>
      <c r="D243" s="7" t="s">
        <v>687</v>
      </c>
      <c r="E243" s="7" t="s">
        <v>687</v>
      </c>
      <c r="F243" s="7" t="s">
        <v>497</v>
      </c>
      <c r="G243" s="7" t="s">
        <v>498</v>
      </c>
      <c r="H243" s="8">
        <f>ROUND(SUMPRODUCT(SUMIF(Final!$G$4:$G$330,CashReserveLevy!D243:F243,Final!$C$4:$C$330)),0)</f>
        <v>13225551</v>
      </c>
      <c r="I243" s="8">
        <f t="shared" si="16"/>
        <v>2645110</v>
      </c>
      <c r="J243" s="8">
        <f>ROUND(SUMPRODUCT(SUMIF(Final!$G$4:$G$330,CashReserveLevy!D243:F243,Final!$E$4:$E$330)),0)</f>
        <v>2660402</v>
      </c>
      <c r="K243" s="8">
        <f t="shared" si="17"/>
        <v>0</v>
      </c>
      <c r="L243" s="8">
        <f>INDEX(ActualCRLevy_SAS!$A$2:$D$326,MATCH(CashReserveLevy!$C243,ActualCRLevy_SAS!$B$2:$B$326,0),4)</f>
        <v>0</v>
      </c>
      <c r="M243" s="31" t="str">
        <f t="shared" si="18"/>
        <v/>
      </c>
      <c r="N243" s="1" t="str">
        <f t="shared" si="19"/>
        <v/>
      </c>
      <c r="O243" s="1" t="str">
        <f t="shared" si="20"/>
        <v/>
      </c>
    </row>
    <row r="244" spans="1:15" x14ac:dyDescent="0.2">
      <c r="A244" s="7">
        <v>2026</v>
      </c>
      <c r="B244" s="7" t="s">
        <v>5</v>
      </c>
      <c r="C244" s="7" t="s">
        <v>499</v>
      </c>
      <c r="D244" s="7" t="s">
        <v>687</v>
      </c>
      <c r="E244" s="7" t="s">
        <v>687</v>
      </c>
      <c r="F244" s="7" t="s">
        <v>499</v>
      </c>
      <c r="G244" s="7" t="s">
        <v>500</v>
      </c>
      <c r="H244" s="8">
        <f>ROUND(SUMPRODUCT(SUMIF(Final!$G$4:$G$330,CashReserveLevy!D244:F244,Final!$C$4:$C$330)),0)</f>
        <v>6446783</v>
      </c>
      <c r="I244" s="8">
        <f t="shared" si="16"/>
        <v>1289357</v>
      </c>
      <c r="J244" s="8">
        <f>ROUND(SUMPRODUCT(SUMIF(Final!$G$4:$G$330,CashReserveLevy!D244:F244,Final!$E$4:$E$330)),0)</f>
        <v>1328067</v>
      </c>
      <c r="K244" s="8">
        <f t="shared" si="17"/>
        <v>0</v>
      </c>
      <c r="L244" s="8">
        <f>INDEX(ActualCRLevy_SAS!$A$2:$D$326,MATCH(CashReserveLevy!$C244,ActualCRLevy_SAS!$B$2:$B$326,0),4)</f>
        <v>0</v>
      </c>
      <c r="M244" s="31" t="str">
        <f t="shared" si="18"/>
        <v/>
      </c>
      <c r="N244" s="1" t="str">
        <f t="shared" si="19"/>
        <v/>
      </c>
      <c r="O244" s="1" t="str">
        <f t="shared" si="20"/>
        <v/>
      </c>
    </row>
    <row r="245" spans="1:15" x14ac:dyDescent="0.2">
      <c r="A245" s="7">
        <v>2026</v>
      </c>
      <c r="B245" s="7" t="s">
        <v>14</v>
      </c>
      <c r="C245" s="7" t="s">
        <v>501</v>
      </c>
      <c r="D245" s="7" t="s">
        <v>687</v>
      </c>
      <c r="E245" s="7" t="s">
        <v>687</v>
      </c>
      <c r="F245" s="7" t="s">
        <v>501</v>
      </c>
      <c r="G245" s="7" t="s">
        <v>502</v>
      </c>
      <c r="H245" s="8">
        <f>ROUND(SUMPRODUCT(SUMIF(Final!$G$4:$G$330,CashReserveLevy!D245:F245,Final!$C$4:$C$330)),0)</f>
        <v>3472390</v>
      </c>
      <c r="I245" s="8">
        <f t="shared" si="16"/>
        <v>694478</v>
      </c>
      <c r="J245" s="8">
        <f>ROUND(SUMPRODUCT(SUMIF(Final!$G$4:$G$330,CashReserveLevy!D245:F245,Final!$E$4:$E$330)),0)</f>
        <v>693201</v>
      </c>
      <c r="K245" s="8">
        <f t="shared" si="17"/>
        <v>1277</v>
      </c>
      <c r="L245" s="8">
        <f>INDEX(ActualCRLevy_SAS!$A$2:$D$326,MATCH(CashReserveLevy!$C245,ActualCRLevy_SAS!$B$2:$B$326,0),4)</f>
        <v>0</v>
      </c>
      <c r="M245" s="31" t="str">
        <f t="shared" si="18"/>
        <v/>
      </c>
      <c r="N245" s="1" t="str">
        <f t="shared" si="19"/>
        <v>No Levy but have Capacity</v>
      </c>
      <c r="O245" s="1" t="str">
        <f t="shared" si="20"/>
        <v/>
      </c>
    </row>
    <row r="246" spans="1:15" x14ac:dyDescent="0.2">
      <c r="A246" s="7">
        <v>2026</v>
      </c>
      <c r="B246" s="7" t="s">
        <v>0</v>
      </c>
      <c r="C246" s="7" t="s">
        <v>503</v>
      </c>
      <c r="D246" s="7" t="s">
        <v>687</v>
      </c>
      <c r="E246" s="7" t="s">
        <v>687</v>
      </c>
      <c r="F246" s="7" t="s">
        <v>503</v>
      </c>
      <c r="G246" s="7" t="s">
        <v>504</v>
      </c>
      <c r="H246" s="8">
        <f>ROUND(SUMPRODUCT(SUMIF(Final!$G$4:$G$330,CashReserveLevy!D246:F246,Final!$C$4:$C$330)),0)</f>
        <v>18984989</v>
      </c>
      <c r="I246" s="8">
        <f t="shared" si="16"/>
        <v>3796998</v>
      </c>
      <c r="J246" s="8">
        <f>ROUND(SUMPRODUCT(SUMIF(Final!$G$4:$G$330,CashReserveLevy!D246:F246,Final!$E$4:$E$330)),0)</f>
        <v>3273727</v>
      </c>
      <c r="K246" s="8">
        <f t="shared" si="17"/>
        <v>523271</v>
      </c>
      <c r="L246" s="8">
        <f>INDEX(ActualCRLevy_SAS!$A$2:$D$326,MATCH(CashReserveLevy!$C246,ActualCRLevy_SAS!$B$2:$B$326,0),4)</f>
        <v>523271</v>
      </c>
      <c r="M246" s="31" t="str">
        <f t="shared" si="18"/>
        <v>Max</v>
      </c>
      <c r="N246" s="1" t="str">
        <f t="shared" si="19"/>
        <v/>
      </c>
      <c r="O246" s="1" t="str">
        <f t="shared" si="20"/>
        <v/>
      </c>
    </row>
    <row r="247" spans="1:15" x14ac:dyDescent="0.2">
      <c r="A247" s="7">
        <v>2026</v>
      </c>
      <c r="B247" s="7" t="s">
        <v>14</v>
      </c>
      <c r="C247" s="7" t="s">
        <v>505</v>
      </c>
      <c r="D247" s="7" t="s">
        <v>687</v>
      </c>
      <c r="E247" s="7" t="s">
        <v>687</v>
      </c>
      <c r="F247" s="7" t="s">
        <v>505</v>
      </c>
      <c r="G247" s="7" t="s">
        <v>506</v>
      </c>
      <c r="H247" s="8">
        <f>ROUND(SUMPRODUCT(SUMIF(Final!$G$4:$G$330,CashReserveLevy!D247:F247,Final!$C$4:$C$330)),0)</f>
        <v>6000011</v>
      </c>
      <c r="I247" s="8">
        <f t="shared" si="16"/>
        <v>1200002</v>
      </c>
      <c r="J247" s="8">
        <f>ROUND(SUMPRODUCT(SUMIF(Final!$G$4:$G$330,CashReserveLevy!D247:F247,Final!$E$4:$E$330)),0)</f>
        <v>2031759</v>
      </c>
      <c r="K247" s="8">
        <f t="shared" si="17"/>
        <v>0</v>
      </c>
      <c r="L247" s="8">
        <f>INDEX(ActualCRLevy_SAS!$A$2:$D$326,MATCH(CashReserveLevy!$C247,ActualCRLevy_SAS!$B$2:$B$326,0),4)</f>
        <v>0</v>
      </c>
      <c r="M247" s="31" t="str">
        <f t="shared" si="18"/>
        <v/>
      </c>
      <c r="N247" s="1" t="str">
        <f t="shared" si="19"/>
        <v/>
      </c>
      <c r="O247" s="1" t="str">
        <f t="shared" si="20"/>
        <v/>
      </c>
    </row>
    <row r="248" spans="1:15" x14ac:dyDescent="0.2">
      <c r="A248" s="7">
        <v>2026</v>
      </c>
      <c r="B248" s="7" t="s">
        <v>11</v>
      </c>
      <c r="C248" s="7" t="s">
        <v>507</v>
      </c>
      <c r="D248" s="7" t="s">
        <v>687</v>
      </c>
      <c r="E248" s="7" t="s">
        <v>687</v>
      </c>
      <c r="F248" s="7" t="s">
        <v>507</v>
      </c>
      <c r="G248" s="7" t="s">
        <v>508</v>
      </c>
      <c r="H248" s="8">
        <f>ROUND(SUMPRODUCT(SUMIF(Final!$G$4:$G$330,CashReserveLevy!D248:F248,Final!$C$4:$C$330)),0)</f>
        <v>3889675</v>
      </c>
      <c r="I248" s="8">
        <f t="shared" si="16"/>
        <v>777935</v>
      </c>
      <c r="J248" s="8">
        <f>ROUND(SUMPRODUCT(SUMIF(Final!$G$4:$G$330,CashReserveLevy!D248:F248,Final!$E$4:$E$330)),0)</f>
        <v>944836</v>
      </c>
      <c r="K248" s="8">
        <f t="shared" si="17"/>
        <v>0</v>
      </c>
      <c r="L248" s="8">
        <f>INDEX(ActualCRLevy_SAS!$A$2:$D$326,MATCH(CashReserveLevy!$C248,ActualCRLevy_SAS!$B$2:$B$326,0),4)</f>
        <v>0</v>
      </c>
      <c r="M248" s="31" t="str">
        <f t="shared" si="18"/>
        <v/>
      </c>
      <c r="N248" s="1" t="str">
        <f t="shared" si="19"/>
        <v/>
      </c>
      <c r="O248" s="1" t="str">
        <f t="shared" si="20"/>
        <v/>
      </c>
    </row>
    <row r="249" spans="1:15" x14ac:dyDescent="0.2">
      <c r="A249" s="7">
        <v>2026</v>
      </c>
      <c r="B249" s="7" t="s">
        <v>11</v>
      </c>
      <c r="C249" s="7" t="s">
        <v>509</v>
      </c>
      <c r="D249" s="7" t="s">
        <v>687</v>
      </c>
      <c r="E249" s="7" t="s">
        <v>687</v>
      </c>
      <c r="F249" s="7" t="s">
        <v>509</v>
      </c>
      <c r="G249" s="7" t="s">
        <v>510</v>
      </c>
      <c r="H249" s="8">
        <f>ROUND(SUMPRODUCT(SUMIF(Final!$G$4:$G$330,CashReserveLevy!D249:F249,Final!$C$4:$C$330)),0)</f>
        <v>21885814</v>
      </c>
      <c r="I249" s="8">
        <f t="shared" si="16"/>
        <v>4377163</v>
      </c>
      <c r="J249" s="8">
        <f>ROUND(SUMPRODUCT(SUMIF(Final!$G$4:$G$330,CashReserveLevy!D249:F249,Final!$E$4:$E$330)),0)</f>
        <v>2906506</v>
      </c>
      <c r="K249" s="8">
        <f t="shared" si="17"/>
        <v>1470657</v>
      </c>
      <c r="L249" s="8">
        <f>INDEX(ActualCRLevy_SAS!$A$2:$D$326,MATCH(CashReserveLevy!$C249,ActualCRLevy_SAS!$B$2:$B$326,0),4)</f>
        <v>840657</v>
      </c>
      <c r="M249" s="31" t="str">
        <f t="shared" si="18"/>
        <v/>
      </c>
      <c r="N249" s="1" t="str">
        <f t="shared" si="19"/>
        <v/>
      </c>
      <c r="O249" s="1" t="str">
        <f t="shared" si="20"/>
        <v/>
      </c>
    </row>
    <row r="250" spans="1:15" x14ac:dyDescent="0.2">
      <c r="A250" s="7">
        <v>2026</v>
      </c>
      <c r="B250" s="7" t="s">
        <v>17</v>
      </c>
      <c r="C250" s="7" t="s">
        <v>511</v>
      </c>
      <c r="D250" s="7" t="s">
        <v>687</v>
      </c>
      <c r="E250" s="7" t="s">
        <v>687</v>
      </c>
      <c r="F250" s="7" t="s">
        <v>511</v>
      </c>
      <c r="G250" s="7" t="s">
        <v>512</v>
      </c>
      <c r="H250" s="8">
        <f>ROUND(SUMPRODUCT(SUMIF(Final!$G$4:$G$330,CashReserveLevy!D250:F250,Final!$C$4:$C$330)),0)</f>
        <v>4222680</v>
      </c>
      <c r="I250" s="8">
        <f t="shared" si="16"/>
        <v>844536</v>
      </c>
      <c r="J250" s="8">
        <f>ROUND(SUMPRODUCT(SUMIF(Final!$G$4:$G$330,CashReserveLevy!D250:F250,Final!$E$4:$E$330)),0)</f>
        <v>1025096</v>
      </c>
      <c r="K250" s="8">
        <f t="shared" si="17"/>
        <v>0</v>
      </c>
      <c r="L250" s="8">
        <f>INDEX(ActualCRLevy_SAS!$A$2:$D$326,MATCH(CashReserveLevy!$C250,ActualCRLevy_SAS!$B$2:$B$326,0),4)</f>
        <v>0</v>
      </c>
      <c r="M250" s="31" t="str">
        <f t="shared" si="18"/>
        <v/>
      </c>
      <c r="N250" s="1" t="str">
        <f t="shared" si="19"/>
        <v/>
      </c>
      <c r="O250" s="1" t="str">
        <f t="shared" si="20"/>
        <v/>
      </c>
    </row>
    <row r="251" spans="1:15" x14ac:dyDescent="0.2">
      <c r="A251" s="7">
        <v>2026</v>
      </c>
      <c r="B251" s="7" t="s">
        <v>11</v>
      </c>
      <c r="C251" s="7" t="s">
        <v>513</v>
      </c>
      <c r="D251" s="7" t="s">
        <v>687</v>
      </c>
      <c r="E251" s="7" t="s">
        <v>687</v>
      </c>
      <c r="F251" s="7" t="s">
        <v>513</v>
      </c>
      <c r="G251" s="7" t="s">
        <v>514</v>
      </c>
      <c r="H251" s="8">
        <f>ROUND(SUMPRODUCT(SUMIF(Final!$G$4:$G$330,CashReserveLevy!D251:F251,Final!$C$4:$C$330)),0)</f>
        <v>14850359</v>
      </c>
      <c r="I251" s="8">
        <f t="shared" si="16"/>
        <v>2970072</v>
      </c>
      <c r="J251" s="8">
        <f>ROUND(SUMPRODUCT(SUMIF(Final!$G$4:$G$330,CashReserveLevy!D251:F251,Final!$E$4:$E$330)),0)</f>
        <v>6460166</v>
      </c>
      <c r="K251" s="8">
        <f t="shared" si="17"/>
        <v>0</v>
      </c>
      <c r="L251" s="8">
        <f>INDEX(ActualCRLevy_SAS!$A$2:$D$326,MATCH(CashReserveLevy!$C251,ActualCRLevy_SAS!$B$2:$B$326,0),4)</f>
        <v>0</v>
      </c>
      <c r="M251" s="31" t="str">
        <f t="shared" si="18"/>
        <v/>
      </c>
      <c r="N251" s="1" t="str">
        <f t="shared" si="19"/>
        <v/>
      </c>
      <c r="O251" s="1" t="str">
        <f t="shared" si="20"/>
        <v/>
      </c>
    </row>
    <row r="252" spans="1:15" x14ac:dyDescent="0.2">
      <c r="A252" s="7">
        <v>2026</v>
      </c>
      <c r="B252" s="7" t="s">
        <v>8</v>
      </c>
      <c r="C252" s="7" t="s">
        <v>515</v>
      </c>
      <c r="D252" s="7" t="s">
        <v>687</v>
      </c>
      <c r="E252" s="7" t="s">
        <v>687</v>
      </c>
      <c r="F252" s="7" t="s">
        <v>515</v>
      </c>
      <c r="G252" s="7" t="s">
        <v>516</v>
      </c>
      <c r="H252" s="8">
        <f>ROUND(SUMPRODUCT(SUMIF(Final!$G$4:$G$330,CashReserveLevy!D252:F252,Final!$C$4:$C$330)),0)</f>
        <v>15555949</v>
      </c>
      <c r="I252" s="8">
        <f t="shared" si="16"/>
        <v>3111190</v>
      </c>
      <c r="J252" s="8">
        <f>ROUND(SUMPRODUCT(SUMIF(Final!$G$4:$G$330,CashReserveLevy!D252:F252,Final!$E$4:$E$330)),0)</f>
        <v>761666</v>
      </c>
      <c r="K252" s="8">
        <f t="shared" si="17"/>
        <v>2349524</v>
      </c>
      <c r="L252" s="8">
        <f>INDEX(ActualCRLevy_SAS!$A$2:$D$326,MATCH(CashReserveLevy!$C252,ActualCRLevy_SAS!$B$2:$B$326,0),4)</f>
        <v>2035000</v>
      </c>
      <c r="M252" s="31" t="str">
        <f t="shared" si="18"/>
        <v/>
      </c>
      <c r="N252" s="1" t="str">
        <f t="shared" si="19"/>
        <v/>
      </c>
      <c r="O252" s="1" t="str">
        <f t="shared" si="20"/>
        <v/>
      </c>
    </row>
    <row r="253" spans="1:15" x14ac:dyDescent="0.2">
      <c r="A253" s="7">
        <v>2026</v>
      </c>
      <c r="B253" s="7" t="s">
        <v>11</v>
      </c>
      <c r="C253" s="7" t="s">
        <v>517</v>
      </c>
      <c r="D253" s="7" t="s">
        <v>687</v>
      </c>
      <c r="E253" s="7" t="s">
        <v>687</v>
      </c>
      <c r="F253" s="7" t="s">
        <v>517</v>
      </c>
      <c r="G253" s="7" t="s">
        <v>518</v>
      </c>
      <c r="H253" s="8">
        <f>ROUND(SUMPRODUCT(SUMIF(Final!$G$4:$G$330,CashReserveLevy!D253:F253,Final!$C$4:$C$330)),0)</f>
        <v>10012063</v>
      </c>
      <c r="I253" s="8">
        <f t="shared" si="16"/>
        <v>2002413</v>
      </c>
      <c r="J253" s="8">
        <f>ROUND(SUMPRODUCT(SUMIF(Final!$G$4:$G$330,CashReserveLevy!D253:F253,Final!$E$4:$E$330)),0)</f>
        <v>3471227</v>
      </c>
      <c r="K253" s="8">
        <f t="shared" si="17"/>
        <v>0</v>
      </c>
      <c r="L253" s="8">
        <f>INDEX(ActualCRLevy_SAS!$A$2:$D$326,MATCH(CashReserveLevy!$C253,ActualCRLevy_SAS!$B$2:$B$326,0),4)</f>
        <v>0</v>
      </c>
      <c r="M253" s="31" t="str">
        <f t="shared" si="18"/>
        <v/>
      </c>
      <c r="N253" s="1" t="str">
        <f t="shared" si="19"/>
        <v/>
      </c>
      <c r="O253" s="1" t="str">
        <f t="shared" si="20"/>
        <v/>
      </c>
    </row>
    <row r="254" spans="1:15" x14ac:dyDescent="0.2">
      <c r="A254" s="7">
        <v>2026</v>
      </c>
      <c r="B254" s="7" t="s">
        <v>8</v>
      </c>
      <c r="C254" s="7" t="s">
        <v>519</v>
      </c>
      <c r="D254" s="7" t="s">
        <v>687</v>
      </c>
      <c r="E254" s="7" t="s">
        <v>687</v>
      </c>
      <c r="F254" s="7" t="s">
        <v>519</v>
      </c>
      <c r="G254" s="7" t="s">
        <v>520</v>
      </c>
      <c r="H254" s="8">
        <f>ROUND(SUMPRODUCT(SUMIF(Final!$G$4:$G$330,CashReserveLevy!D254:F254,Final!$C$4:$C$330)),0)</f>
        <v>9670322</v>
      </c>
      <c r="I254" s="8">
        <f t="shared" si="16"/>
        <v>1934064</v>
      </c>
      <c r="J254" s="8">
        <f>ROUND(SUMPRODUCT(SUMIF(Final!$G$4:$G$330,CashReserveLevy!D254:F254,Final!$E$4:$E$330)),0)</f>
        <v>232720</v>
      </c>
      <c r="K254" s="8">
        <f t="shared" si="17"/>
        <v>1701344</v>
      </c>
      <c r="L254" s="8">
        <f>INDEX(ActualCRLevy_SAS!$A$2:$D$326,MATCH(CashReserveLevy!$C254,ActualCRLevy_SAS!$B$2:$B$326,0),4)</f>
        <v>48600</v>
      </c>
      <c r="M254" s="31" t="str">
        <f t="shared" si="18"/>
        <v/>
      </c>
      <c r="N254" s="1" t="str">
        <f t="shared" si="19"/>
        <v/>
      </c>
      <c r="O254" s="1" t="str">
        <f t="shared" si="20"/>
        <v/>
      </c>
    </row>
    <row r="255" spans="1:15" x14ac:dyDescent="0.2">
      <c r="A255" s="7">
        <v>2026</v>
      </c>
      <c r="B255" s="7" t="s">
        <v>17</v>
      </c>
      <c r="C255" s="7" t="s">
        <v>521</v>
      </c>
      <c r="D255" s="7" t="s">
        <v>687</v>
      </c>
      <c r="E255" s="7" t="s">
        <v>687</v>
      </c>
      <c r="F255" s="7" t="s">
        <v>521</v>
      </c>
      <c r="G255" s="7" t="s">
        <v>522</v>
      </c>
      <c r="H255" s="8">
        <f>ROUND(SUMPRODUCT(SUMIF(Final!$G$4:$G$330,CashReserveLevy!D255:F255,Final!$C$4:$C$330)),0)</f>
        <v>8170638</v>
      </c>
      <c r="I255" s="8">
        <f t="shared" si="16"/>
        <v>1634128</v>
      </c>
      <c r="J255" s="8">
        <f>ROUND(SUMPRODUCT(SUMIF(Final!$G$4:$G$330,CashReserveLevy!D255:F255,Final!$E$4:$E$330)),0)</f>
        <v>2013633</v>
      </c>
      <c r="K255" s="8">
        <f t="shared" si="17"/>
        <v>0</v>
      </c>
      <c r="L255" s="8">
        <f>INDEX(ActualCRLevy_SAS!$A$2:$D$326,MATCH(CashReserveLevy!$C255,ActualCRLevy_SAS!$B$2:$B$326,0),4)</f>
        <v>0</v>
      </c>
      <c r="M255" s="31" t="str">
        <f t="shared" si="18"/>
        <v/>
      </c>
      <c r="N255" s="1" t="str">
        <f t="shared" si="19"/>
        <v/>
      </c>
      <c r="O255" s="1" t="str">
        <f t="shared" si="20"/>
        <v/>
      </c>
    </row>
    <row r="256" spans="1:15" x14ac:dyDescent="0.2">
      <c r="A256" s="7">
        <v>2026</v>
      </c>
      <c r="B256" s="7" t="s">
        <v>11</v>
      </c>
      <c r="C256" s="7" t="s">
        <v>523</v>
      </c>
      <c r="D256" s="7" t="s">
        <v>687</v>
      </c>
      <c r="E256" s="7" t="s">
        <v>687</v>
      </c>
      <c r="F256" s="7" t="s">
        <v>523</v>
      </c>
      <c r="G256" s="7" t="s">
        <v>524</v>
      </c>
      <c r="H256" s="8">
        <f>ROUND(SUMPRODUCT(SUMIF(Final!$G$4:$G$330,CashReserveLevy!D256:F256,Final!$C$4:$C$330)),0)</f>
        <v>20599064</v>
      </c>
      <c r="I256" s="8">
        <f t="shared" si="16"/>
        <v>4119813</v>
      </c>
      <c r="J256" s="8">
        <f>ROUND(SUMPRODUCT(SUMIF(Final!$G$4:$G$330,CashReserveLevy!D256:F256,Final!$E$4:$E$330)),0)</f>
        <v>5002990</v>
      </c>
      <c r="K256" s="8">
        <f t="shared" si="17"/>
        <v>0</v>
      </c>
      <c r="L256" s="8">
        <f>INDEX(ActualCRLevy_SAS!$A$2:$D$326,MATCH(CashReserveLevy!$C256,ActualCRLevy_SAS!$B$2:$B$326,0),4)</f>
        <v>0</v>
      </c>
      <c r="M256" s="31" t="str">
        <f t="shared" si="18"/>
        <v/>
      </c>
      <c r="N256" s="1" t="str">
        <f t="shared" si="19"/>
        <v/>
      </c>
      <c r="O256" s="1" t="str">
        <f t="shared" si="20"/>
        <v/>
      </c>
    </row>
    <row r="257" spans="1:15" x14ac:dyDescent="0.2">
      <c r="A257" s="7">
        <v>2026</v>
      </c>
      <c r="B257" s="7" t="s">
        <v>14</v>
      </c>
      <c r="C257" s="7" t="s">
        <v>525</v>
      </c>
      <c r="D257" s="7" t="s">
        <v>687</v>
      </c>
      <c r="E257" s="7" t="s">
        <v>687</v>
      </c>
      <c r="F257" s="7" t="s">
        <v>526</v>
      </c>
      <c r="G257" s="7" t="s">
        <v>527</v>
      </c>
      <c r="H257" s="8">
        <f>ROUND(SUMPRODUCT(SUMIF(Final!$G$4:$G$330,CashReserveLevy!D257:F257,Final!$C$4:$C$330)),0)</f>
        <v>8656889</v>
      </c>
      <c r="I257" s="8">
        <f t="shared" si="16"/>
        <v>1731378</v>
      </c>
      <c r="J257" s="8">
        <f>ROUND(SUMPRODUCT(SUMIF(Final!$G$4:$G$330,CashReserveLevy!D257:F257,Final!$E$4:$E$330)),0)</f>
        <v>3929590</v>
      </c>
      <c r="K257" s="8">
        <f t="shared" si="17"/>
        <v>0</v>
      </c>
      <c r="L257" s="8">
        <f>INDEX(ActualCRLevy_SAS!$A$2:$D$326,MATCH(CashReserveLevy!$C257,ActualCRLevy_SAS!$B$2:$B$326,0),4)</f>
        <v>0</v>
      </c>
      <c r="M257" s="31" t="str">
        <f t="shared" si="18"/>
        <v/>
      </c>
      <c r="N257" s="1" t="str">
        <f t="shared" si="19"/>
        <v/>
      </c>
      <c r="O257" s="1" t="str">
        <f t="shared" si="20"/>
        <v/>
      </c>
    </row>
    <row r="258" spans="1:15" x14ac:dyDescent="0.2">
      <c r="A258" s="7">
        <v>2026</v>
      </c>
      <c r="B258" s="7" t="s">
        <v>11</v>
      </c>
      <c r="C258" s="7" t="s">
        <v>528</v>
      </c>
      <c r="D258" s="7" t="s">
        <v>687</v>
      </c>
      <c r="E258" s="7" t="s">
        <v>687</v>
      </c>
      <c r="F258" s="7" t="s">
        <v>528</v>
      </c>
      <c r="G258" s="7" t="s">
        <v>529</v>
      </c>
      <c r="H258" s="8">
        <f>ROUND(SUMPRODUCT(SUMIF(Final!$G$4:$G$330,CashReserveLevy!D258:F258,Final!$C$4:$C$330)),0)</f>
        <v>201689374</v>
      </c>
      <c r="I258" s="8">
        <f t="shared" si="16"/>
        <v>40337875</v>
      </c>
      <c r="J258" s="8">
        <f>ROUND(SUMPRODUCT(SUMIF(Final!$G$4:$G$330,CashReserveLevy!D258:F258,Final!$E$4:$E$330)),0)</f>
        <v>76080587</v>
      </c>
      <c r="K258" s="8">
        <f t="shared" si="17"/>
        <v>0</v>
      </c>
      <c r="L258" s="8">
        <f>INDEX(ActualCRLevy_SAS!$A$2:$D$326,MATCH(CashReserveLevy!$C258,ActualCRLevy_SAS!$B$2:$B$326,0),4)</f>
        <v>0</v>
      </c>
      <c r="M258" s="31" t="str">
        <f t="shared" si="18"/>
        <v/>
      </c>
      <c r="N258" s="1" t="str">
        <f t="shared" si="19"/>
        <v/>
      </c>
      <c r="O258" s="1" t="str">
        <f t="shared" si="20"/>
        <v/>
      </c>
    </row>
    <row r="259" spans="1:15" x14ac:dyDescent="0.2">
      <c r="A259" s="7">
        <v>2026</v>
      </c>
      <c r="B259" s="7" t="s">
        <v>20</v>
      </c>
      <c r="C259" s="7" t="s">
        <v>530</v>
      </c>
      <c r="D259" s="7" t="s">
        <v>687</v>
      </c>
      <c r="E259" s="7" t="s">
        <v>687</v>
      </c>
      <c r="F259" s="7" t="s">
        <v>530</v>
      </c>
      <c r="G259" s="7" t="s">
        <v>531</v>
      </c>
      <c r="H259" s="8">
        <f>ROUND(SUMPRODUCT(SUMIF(Final!$G$4:$G$330,CashReserveLevy!D259:F259,Final!$C$4:$C$330)),0)</f>
        <v>17150608</v>
      </c>
      <c r="I259" s="8">
        <f t="shared" si="16"/>
        <v>3430122</v>
      </c>
      <c r="J259" s="8">
        <f>ROUND(SUMPRODUCT(SUMIF(Final!$G$4:$G$330,CashReserveLevy!D259:F259,Final!$E$4:$E$330)),0)</f>
        <v>3544518</v>
      </c>
      <c r="K259" s="8">
        <f t="shared" si="17"/>
        <v>0</v>
      </c>
      <c r="L259" s="8">
        <f>INDEX(ActualCRLevy_SAS!$A$2:$D$326,MATCH(CashReserveLevy!$C259,ActualCRLevy_SAS!$B$2:$B$326,0),4)</f>
        <v>0</v>
      </c>
      <c r="M259" s="31" t="str">
        <f t="shared" si="18"/>
        <v/>
      </c>
      <c r="N259" s="1" t="str">
        <f t="shared" si="19"/>
        <v/>
      </c>
      <c r="O259" s="1" t="str">
        <f t="shared" si="20"/>
        <v/>
      </c>
    </row>
    <row r="260" spans="1:15" x14ac:dyDescent="0.2">
      <c r="A260" s="7">
        <v>2026</v>
      </c>
      <c r="B260" s="7" t="s">
        <v>14</v>
      </c>
      <c r="C260" s="7" t="s">
        <v>532</v>
      </c>
      <c r="D260" s="7" t="s">
        <v>687</v>
      </c>
      <c r="E260" s="7" t="s">
        <v>687</v>
      </c>
      <c r="F260" s="7" t="s">
        <v>532</v>
      </c>
      <c r="G260" s="7" t="s">
        <v>533</v>
      </c>
      <c r="H260" s="8">
        <f>ROUND(SUMPRODUCT(SUMIF(Final!$G$4:$G$330,CashReserveLevy!D260:F260,Final!$C$4:$C$330)),0)</f>
        <v>13181660</v>
      </c>
      <c r="I260" s="8">
        <f t="shared" ref="I260:I323" si="21">ROUND(H260*0.2,0)</f>
        <v>2636332</v>
      </c>
      <c r="J260" s="8">
        <f>ROUND(SUMPRODUCT(SUMIF(Final!$G$4:$G$330,CashReserveLevy!D260:F260,Final!$E$4:$E$330)),0)</f>
        <v>8383562</v>
      </c>
      <c r="K260" s="8">
        <f t="shared" ref="K260:K323" si="22">IF(I260&gt;J260,I260-J260,0)</f>
        <v>0</v>
      </c>
      <c r="L260" s="8">
        <f>INDEX(ActualCRLevy_SAS!$A$2:$D$326,MATCH(CashReserveLevy!$C260,ActualCRLevy_SAS!$B$2:$B$326,0),4)</f>
        <v>0</v>
      </c>
      <c r="M260" s="31" t="str">
        <f t="shared" ref="M260:M323" si="23">IF(AND(L260=K260,K260&gt;0),"Max","")</f>
        <v/>
      </c>
      <c r="N260" s="1" t="str">
        <f t="shared" ref="N260:N323" si="24">IF(AND(L260&lt;K260,L260=0),"No Levy but have Capacity","")</f>
        <v/>
      </c>
      <c r="O260" s="1" t="str">
        <f t="shared" si="20"/>
        <v/>
      </c>
    </row>
    <row r="261" spans="1:15" x14ac:dyDescent="0.2">
      <c r="A261" s="7">
        <v>2026</v>
      </c>
      <c r="B261" s="7" t="s">
        <v>14</v>
      </c>
      <c r="C261" s="7" t="s">
        <v>534</v>
      </c>
      <c r="D261" s="7" t="s">
        <v>687</v>
      </c>
      <c r="E261" s="7" t="s">
        <v>687</v>
      </c>
      <c r="F261" s="7" t="s">
        <v>534</v>
      </c>
      <c r="G261" s="7" t="s">
        <v>535</v>
      </c>
      <c r="H261" s="8">
        <f>ROUND(SUMPRODUCT(SUMIF(Final!$G$4:$G$330,CashReserveLevy!D261:F261,Final!$C$4:$C$330)),0)</f>
        <v>8847735</v>
      </c>
      <c r="I261" s="8">
        <f t="shared" si="21"/>
        <v>1769547</v>
      </c>
      <c r="J261" s="8">
        <f>ROUND(SUMPRODUCT(SUMIF(Final!$G$4:$G$330,CashReserveLevy!D261:F261,Final!$E$4:$E$330)),0)</f>
        <v>3105545</v>
      </c>
      <c r="K261" s="8">
        <f t="shared" si="22"/>
        <v>0</v>
      </c>
      <c r="L261" s="8">
        <f>INDEX(ActualCRLevy_SAS!$A$2:$D$326,MATCH(CashReserveLevy!$C261,ActualCRLevy_SAS!$B$2:$B$326,0),4)</f>
        <v>0</v>
      </c>
      <c r="M261" s="31" t="str">
        <f t="shared" si="23"/>
        <v/>
      </c>
      <c r="N261" s="1" t="str">
        <f t="shared" si="24"/>
        <v/>
      </c>
      <c r="O261" s="1" t="str">
        <f t="shared" si="20"/>
        <v/>
      </c>
    </row>
    <row r="262" spans="1:15" x14ac:dyDescent="0.2">
      <c r="A262" s="7">
        <v>2026</v>
      </c>
      <c r="B262" s="7" t="s">
        <v>11</v>
      </c>
      <c r="C262" s="7" t="s">
        <v>536</v>
      </c>
      <c r="D262" s="7" t="s">
        <v>687</v>
      </c>
      <c r="E262" s="7" t="s">
        <v>687</v>
      </c>
      <c r="F262" s="7" t="s">
        <v>537</v>
      </c>
      <c r="G262" s="7" t="s">
        <v>538</v>
      </c>
      <c r="H262" s="8">
        <f>ROUND(SUMPRODUCT(SUMIF(Final!$G$4:$G$330,CashReserveLevy!D262:F262,Final!$C$4:$C$330)),0)</f>
        <v>7978529</v>
      </c>
      <c r="I262" s="8">
        <f t="shared" si="21"/>
        <v>1595706</v>
      </c>
      <c r="J262" s="8">
        <f>ROUND(SUMPRODUCT(SUMIF(Final!$G$4:$G$330,CashReserveLevy!D262:F262,Final!$E$4:$E$330)),0)</f>
        <v>1622181</v>
      </c>
      <c r="K262" s="8">
        <f t="shared" si="22"/>
        <v>0</v>
      </c>
      <c r="L262" s="8">
        <f>INDEX(ActualCRLevy_SAS!$A$2:$D$326,MATCH(CashReserveLevy!$C262,ActualCRLevy_SAS!$B$2:$B$326,0),4)</f>
        <v>0</v>
      </c>
      <c r="M262" s="31" t="str">
        <f t="shared" si="23"/>
        <v/>
      </c>
      <c r="N262" s="1" t="str">
        <f t="shared" si="24"/>
        <v/>
      </c>
      <c r="O262" s="1" t="str">
        <f t="shared" si="20"/>
        <v/>
      </c>
    </row>
    <row r="263" spans="1:15" x14ac:dyDescent="0.2">
      <c r="A263" s="7">
        <v>2026</v>
      </c>
      <c r="B263" s="7" t="s">
        <v>8</v>
      </c>
      <c r="C263" s="7" t="s">
        <v>539</v>
      </c>
      <c r="D263" s="7" t="s">
        <v>687</v>
      </c>
      <c r="E263" s="7" t="s">
        <v>687</v>
      </c>
      <c r="F263" s="7" t="s">
        <v>539</v>
      </c>
      <c r="G263" s="7" t="s">
        <v>540</v>
      </c>
      <c r="H263" s="8">
        <f>ROUND(SUMPRODUCT(SUMIF(Final!$G$4:$G$330,CashReserveLevy!D263:F263,Final!$C$4:$C$330)),0)</f>
        <v>3143415</v>
      </c>
      <c r="I263" s="8">
        <f t="shared" si="21"/>
        <v>628683</v>
      </c>
      <c r="J263" s="8">
        <f>ROUND(SUMPRODUCT(SUMIF(Final!$G$4:$G$330,CashReserveLevy!D263:F263,Final!$E$4:$E$330)),0)</f>
        <v>947055</v>
      </c>
      <c r="K263" s="8">
        <f t="shared" si="22"/>
        <v>0</v>
      </c>
      <c r="L263" s="8">
        <f>INDEX(ActualCRLevy_SAS!$A$2:$D$326,MATCH(CashReserveLevy!$C263,ActualCRLevy_SAS!$B$2:$B$326,0),4)</f>
        <v>0</v>
      </c>
      <c r="M263" s="31" t="str">
        <f t="shared" si="23"/>
        <v/>
      </c>
      <c r="N263" s="1" t="str">
        <f t="shared" si="24"/>
        <v/>
      </c>
      <c r="O263" s="1" t="str">
        <f t="shared" si="20"/>
        <v/>
      </c>
    </row>
    <row r="264" spans="1:15" x14ac:dyDescent="0.2">
      <c r="A264" s="7">
        <v>2026</v>
      </c>
      <c r="B264" s="7" t="s">
        <v>5</v>
      </c>
      <c r="C264" s="7" t="s">
        <v>541</v>
      </c>
      <c r="D264" s="7" t="s">
        <v>687</v>
      </c>
      <c r="E264" s="7" t="s">
        <v>687</v>
      </c>
      <c r="F264" s="7" t="s">
        <v>541</v>
      </c>
      <c r="G264" s="7" t="s">
        <v>542</v>
      </c>
      <c r="H264" s="8">
        <f>ROUND(SUMPRODUCT(SUMIF(Final!$G$4:$G$330,CashReserveLevy!D264:F264,Final!$C$4:$C$330)),0)</f>
        <v>20901632</v>
      </c>
      <c r="I264" s="8">
        <f t="shared" si="21"/>
        <v>4180326</v>
      </c>
      <c r="J264" s="8">
        <f>ROUND(SUMPRODUCT(SUMIF(Final!$G$4:$G$330,CashReserveLevy!D264:F264,Final!$E$4:$E$330)),0)</f>
        <v>3582333</v>
      </c>
      <c r="K264" s="8">
        <f t="shared" si="22"/>
        <v>597993</v>
      </c>
      <c r="L264" s="8">
        <f>INDEX(ActualCRLevy_SAS!$A$2:$D$326,MATCH(CashReserveLevy!$C264,ActualCRLevy_SAS!$B$2:$B$326,0),4)</f>
        <v>596756</v>
      </c>
      <c r="M264" s="31" t="str">
        <f t="shared" si="23"/>
        <v/>
      </c>
      <c r="N264" s="1" t="str">
        <f t="shared" si="24"/>
        <v/>
      </c>
      <c r="O264" s="1" t="str">
        <f t="shared" si="20"/>
        <v/>
      </c>
    </row>
    <row r="265" spans="1:15" x14ac:dyDescent="0.2">
      <c r="A265" s="7">
        <v>2026</v>
      </c>
      <c r="B265" s="7" t="s">
        <v>28</v>
      </c>
      <c r="C265" s="7" t="s">
        <v>543</v>
      </c>
      <c r="D265" s="7" t="s">
        <v>687</v>
      </c>
      <c r="E265" s="7" t="s">
        <v>687</v>
      </c>
      <c r="F265" s="7" t="s">
        <v>543</v>
      </c>
      <c r="G265" s="7" t="s">
        <v>544</v>
      </c>
      <c r="H265" s="8">
        <f>ROUND(SUMPRODUCT(SUMIF(Final!$G$4:$G$330,CashReserveLevy!D265:F265,Final!$C$4:$C$330)),0)</f>
        <v>8509481</v>
      </c>
      <c r="I265" s="8">
        <f t="shared" si="21"/>
        <v>1701896</v>
      </c>
      <c r="J265" s="8">
        <f>ROUND(SUMPRODUCT(SUMIF(Final!$G$4:$G$330,CashReserveLevy!D265:F265,Final!$E$4:$E$330)),0)</f>
        <v>1223172</v>
      </c>
      <c r="K265" s="8">
        <f t="shared" si="22"/>
        <v>478724</v>
      </c>
      <c r="L265" s="8">
        <f>INDEX(ActualCRLevy_SAS!$A$2:$D$326,MATCH(CashReserveLevy!$C265,ActualCRLevy_SAS!$B$2:$B$326,0),4)</f>
        <v>478724</v>
      </c>
      <c r="M265" s="31" t="str">
        <f t="shared" si="23"/>
        <v>Max</v>
      </c>
      <c r="N265" s="1" t="str">
        <f t="shared" si="24"/>
        <v/>
      </c>
      <c r="O265" s="1" t="str">
        <f t="shared" si="20"/>
        <v/>
      </c>
    </row>
    <row r="266" spans="1:15" x14ac:dyDescent="0.2">
      <c r="A266" s="7">
        <v>2026</v>
      </c>
      <c r="B266" s="7" t="s">
        <v>0</v>
      </c>
      <c r="C266" s="7" t="s">
        <v>545</v>
      </c>
      <c r="D266" s="7" t="s">
        <v>687</v>
      </c>
      <c r="E266" s="7" t="s">
        <v>687</v>
      </c>
      <c r="F266" s="7" t="s">
        <v>545</v>
      </c>
      <c r="G266" s="7" t="s">
        <v>546</v>
      </c>
      <c r="H266" s="8">
        <f>ROUND(SUMPRODUCT(SUMIF(Final!$G$4:$G$330,CashReserveLevy!D266:F266,Final!$C$4:$C$330)),0)</f>
        <v>101299760</v>
      </c>
      <c r="I266" s="8">
        <f t="shared" si="21"/>
        <v>20259952</v>
      </c>
      <c r="J266" s="8">
        <f>ROUND(SUMPRODUCT(SUMIF(Final!$G$4:$G$330,CashReserveLevy!D266:F266,Final!$E$4:$E$330)),0)</f>
        <v>11728238</v>
      </c>
      <c r="K266" s="8">
        <f t="shared" si="22"/>
        <v>8531714</v>
      </c>
      <c r="L266" s="8">
        <f>INDEX(ActualCRLevy_SAS!$A$2:$D$326,MATCH(CashReserveLevy!$C266,ActualCRLevy_SAS!$B$2:$B$326,0),4)</f>
        <v>2225261</v>
      </c>
      <c r="M266" s="31" t="str">
        <f t="shared" si="23"/>
        <v/>
      </c>
      <c r="N266" s="1" t="str">
        <f t="shared" si="24"/>
        <v/>
      </c>
      <c r="O266" s="1" t="str">
        <f t="shared" si="20"/>
        <v/>
      </c>
    </row>
    <row r="267" spans="1:15" x14ac:dyDescent="0.2">
      <c r="A267" s="7">
        <v>2026</v>
      </c>
      <c r="B267" s="7" t="s">
        <v>0</v>
      </c>
      <c r="C267" s="7" t="s">
        <v>547</v>
      </c>
      <c r="D267" s="7" t="s">
        <v>687</v>
      </c>
      <c r="E267" s="7" t="s">
        <v>687</v>
      </c>
      <c r="F267" s="7" t="s">
        <v>547</v>
      </c>
      <c r="G267" s="7" t="s">
        <v>548</v>
      </c>
      <c r="H267" s="8">
        <f>ROUND(SUMPRODUCT(SUMIF(Final!$G$4:$G$330,CashReserveLevy!D267:F267,Final!$C$4:$C$330)),0)</f>
        <v>7813217</v>
      </c>
      <c r="I267" s="8">
        <f t="shared" si="21"/>
        <v>1562643</v>
      </c>
      <c r="J267" s="8">
        <f>ROUND(SUMPRODUCT(SUMIF(Final!$G$4:$G$330,CashReserveLevy!D267:F267,Final!$E$4:$E$330)),0)</f>
        <v>372022</v>
      </c>
      <c r="K267" s="8">
        <f t="shared" si="22"/>
        <v>1190621</v>
      </c>
      <c r="L267" s="8">
        <f>INDEX(ActualCRLevy_SAS!$A$2:$D$326,MATCH(CashReserveLevy!$C267,ActualCRLevy_SAS!$B$2:$B$326,0),4)</f>
        <v>601577</v>
      </c>
      <c r="M267" s="31" t="str">
        <f t="shared" si="23"/>
        <v/>
      </c>
      <c r="N267" s="1" t="str">
        <f t="shared" si="24"/>
        <v/>
      </c>
      <c r="O267" s="1" t="str">
        <f t="shared" si="20"/>
        <v/>
      </c>
    </row>
    <row r="268" spans="1:15" x14ac:dyDescent="0.2">
      <c r="A268" s="7">
        <v>2026</v>
      </c>
      <c r="B268" s="7" t="s">
        <v>14</v>
      </c>
      <c r="C268" s="7" t="s">
        <v>549</v>
      </c>
      <c r="D268" s="7" t="s">
        <v>483</v>
      </c>
      <c r="E268" s="7" t="s">
        <v>687</v>
      </c>
      <c r="F268" s="7" t="s">
        <v>549</v>
      </c>
      <c r="G268" s="7" t="s">
        <v>1013</v>
      </c>
      <c r="H268" s="8">
        <f>ROUND(SUMPRODUCT(SUMIF(Final!$G$4:$G$330,CashReserveLevy!D268:F268,Final!$C$4:$C$330)),0)</f>
        <v>17187654</v>
      </c>
      <c r="I268" s="8">
        <f t="shared" si="21"/>
        <v>3437531</v>
      </c>
      <c r="J268" s="8">
        <f>ROUND(SUMPRODUCT(SUMIF(Final!$G$4:$G$330,CashReserveLevy!D268:F268,Final!$E$4:$E$330)),0)</f>
        <v>6486257</v>
      </c>
      <c r="K268" s="8">
        <f t="shared" si="22"/>
        <v>0</v>
      </c>
      <c r="L268" s="8">
        <f>INDEX(ActualCRLevy_SAS!$A$2:$D$326,MATCH(CashReserveLevy!$C268,ActualCRLevy_SAS!$B$2:$B$326,0),4)</f>
        <v>0</v>
      </c>
      <c r="M268" s="31" t="str">
        <f t="shared" si="23"/>
        <v/>
      </c>
      <c r="N268" s="1" t="str">
        <f t="shared" si="24"/>
        <v/>
      </c>
      <c r="O268" s="1" t="str">
        <f t="shared" si="20"/>
        <v/>
      </c>
    </row>
    <row r="269" spans="1:15" x14ac:dyDescent="0.2">
      <c r="A269" s="7">
        <v>2026</v>
      </c>
      <c r="B269" s="7" t="s">
        <v>14</v>
      </c>
      <c r="C269" s="7" t="s">
        <v>550</v>
      </c>
      <c r="D269" s="7" t="s">
        <v>687</v>
      </c>
      <c r="E269" s="7" t="s">
        <v>687</v>
      </c>
      <c r="F269" s="7" t="s">
        <v>550</v>
      </c>
      <c r="G269" s="7" t="s">
        <v>551</v>
      </c>
      <c r="H269" s="8">
        <f>ROUND(SUMPRODUCT(SUMIF(Final!$G$4:$G$330,CashReserveLevy!D269:F269,Final!$C$4:$C$330)),0)</f>
        <v>29604483</v>
      </c>
      <c r="I269" s="8">
        <f t="shared" si="21"/>
        <v>5920897</v>
      </c>
      <c r="J269" s="8">
        <f>ROUND(SUMPRODUCT(SUMIF(Final!$G$4:$G$330,CashReserveLevy!D269:F269,Final!$E$4:$E$330)),0)</f>
        <v>5166817</v>
      </c>
      <c r="K269" s="8">
        <f t="shared" si="22"/>
        <v>754080</v>
      </c>
      <c r="L269" s="8">
        <f>INDEX(ActualCRLevy_SAS!$A$2:$D$326,MATCH(CashReserveLevy!$C269,ActualCRLevy_SAS!$B$2:$B$326,0),4)</f>
        <v>754080</v>
      </c>
      <c r="M269" s="31" t="str">
        <f t="shared" si="23"/>
        <v>Max</v>
      </c>
      <c r="N269" s="1" t="str">
        <f t="shared" si="24"/>
        <v/>
      </c>
      <c r="O269" s="1" t="str">
        <f t="shared" ref="O269:O327" si="25">IF(L269&gt;K269,"Exceedes Maximum Limit","")</f>
        <v/>
      </c>
    </row>
    <row r="270" spans="1:15" x14ac:dyDescent="0.2">
      <c r="A270" s="7">
        <v>2026</v>
      </c>
      <c r="B270" s="7" t="s">
        <v>14</v>
      </c>
      <c r="C270" s="7" t="s">
        <v>552</v>
      </c>
      <c r="D270" s="7" t="s">
        <v>687</v>
      </c>
      <c r="E270" s="7" t="s">
        <v>687</v>
      </c>
      <c r="F270" s="7" t="s">
        <v>552</v>
      </c>
      <c r="G270" s="7" t="s">
        <v>553</v>
      </c>
      <c r="H270" s="8">
        <f>ROUND(SUMPRODUCT(SUMIF(Final!$G$4:$G$330,CashReserveLevy!D270:F270,Final!$C$4:$C$330)),0)</f>
        <v>16043864</v>
      </c>
      <c r="I270" s="8">
        <f t="shared" si="21"/>
        <v>3208773</v>
      </c>
      <c r="J270" s="8">
        <f>ROUND(SUMPRODUCT(SUMIF(Final!$G$4:$G$330,CashReserveLevy!D270:F270,Final!$E$4:$E$330)),0)</f>
        <v>3326718</v>
      </c>
      <c r="K270" s="8">
        <f t="shared" si="22"/>
        <v>0</v>
      </c>
      <c r="L270" s="8">
        <f>INDEX(ActualCRLevy_SAS!$A$2:$D$326,MATCH(CashReserveLevy!$C270,ActualCRLevy_SAS!$B$2:$B$326,0),4)</f>
        <v>0</v>
      </c>
      <c r="M270" s="31" t="str">
        <f t="shared" si="23"/>
        <v/>
      </c>
      <c r="N270" s="1" t="str">
        <f t="shared" si="24"/>
        <v/>
      </c>
      <c r="O270" s="1" t="str">
        <f t="shared" si="25"/>
        <v/>
      </c>
    </row>
    <row r="271" spans="1:15" x14ac:dyDescent="0.2">
      <c r="A271" s="7">
        <v>2026</v>
      </c>
      <c r="B271" s="7" t="s">
        <v>20</v>
      </c>
      <c r="C271" s="7" t="s">
        <v>554</v>
      </c>
      <c r="D271" s="7" t="s">
        <v>687</v>
      </c>
      <c r="E271" s="7" t="s">
        <v>687</v>
      </c>
      <c r="F271" s="7" t="s">
        <v>554</v>
      </c>
      <c r="G271" s="7" t="s">
        <v>555</v>
      </c>
      <c r="H271" s="8">
        <f>ROUND(SUMPRODUCT(SUMIF(Final!$G$4:$G$330,CashReserveLevy!D271:F271,Final!$C$4:$C$330)),0)</f>
        <v>6191673</v>
      </c>
      <c r="I271" s="8">
        <f t="shared" si="21"/>
        <v>1238335</v>
      </c>
      <c r="J271" s="8">
        <f>ROUND(SUMPRODUCT(SUMIF(Final!$G$4:$G$330,CashReserveLevy!D271:F271,Final!$E$4:$E$330)),0)</f>
        <v>1133789</v>
      </c>
      <c r="K271" s="8">
        <f t="shared" si="22"/>
        <v>104546</v>
      </c>
      <c r="L271" s="8">
        <f>INDEX(ActualCRLevy_SAS!$A$2:$D$326,MATCH(CashReserveLevy!$C271,ActualCRLevy_SAS!$B$2:$B$326,0),4)</f>
        <v>104546</v>
      </c>
      <c r="M271" s="31" t="str">
        <f t="shared" si="23"/>
        <v>Max</v>
      </c>
      <c r="N271" s="1" t="str">
        <f t="shared" si="24"/>
        <v/>
      </c>
      <c r="O271" s="1" t="str">
        <f t="shared" si="25"/>
        <v/>
      </c>
    </row>
    <row r="272" spans="1:15" x14ac:dyDescent="0.2">
      <c r="A272" s="7">
        <v>2026</v>
      </c>
      <c r="B272" s="7" t="s">
        <v>5</v>
      </c>
      <c r="C272" s="7" t="s">
        <v>556</v>
      </c>
      <c r="D272" s="7" t="s">
        <v>687</v>
      </c>
      <c r="E272" s="7" t="s">
        <v>687</v>
      </c>
      <c r="F272" s="7" t="s">
        <v>556</v>
      </c>
      <c r="G272" s="7" t="s">
        <v>557</v>
      </c>
      <c r="H272" s="8">
        <f>ROUND(SUMPRODUCT(SUMIF(Final!$G$4:$G$330,CashReserveLevy!D272:F272,Final!$C$4:$C$330)),0)</f>
        <v>8149127</v>
      </c>
      <c r="I272" s="8">
        <f t="shared" si="21"/>
        <v>1629825</v>
      </c>
      <c r="J272" s="8">
        <f>ROUND(SUMPRODUCT(SUMIF(Final!$G$4:$G$330,CashReserveLevy!D272:F272,Final!$E$4:$E$330)),0)</f>
        <v>1155841</v>
      </c>
      <c r="K272" s="8">
        <f t="shared" si="22"/>
        <v>473984</v>
      </c>
      <c r="L272" s="8">
        <f>INDEX(ActualCRLevy_SAS!$A$2:$D$326,MATCH(CashReserveLevy!$C272,ActualCRLevy_SAS!$B$2:$B$326,0),4)</f>
        <v>0</v>
      </c>
      <c r="M272" s="31" t="str">
        <f t="shared" si="23"/>
        <v/>
      </c>
      <c r="N272" s="1" t="str">
        <f t="shared" si="24"/>
        <v>No Levy but have Capacity</v>
      </c>
      <c r="O272" s="1" t="str">
        <f t="shared" si="25"/>
        <v/>
      </c>
    </row>
    <row r="273" spans="1:15" x14ac:dyDescent="0.2">
      <c r="A273" s="7">
        <v>2026</v>
      </c>
      <c r="B273" s="7" t="s">
        <v>8</v>
      </c>
      <c r="C273" s="7" t="s">
        <v>558</v>
      </c>
      <c r="D273" s="7" t="s">
        <v>687</v>
      </c>
      <c r="E273" s="7" t="s">
        <v>687</v>
      </c>
      <c r="F273" s="7" t="s">
        <v>558</v>
      </c>
      <c r="G273" s="7" t="s">
        <v>559</v>
      </c>
      <c r="H273" s="8">
        <f>ROUND(SUMPRODUCT(SUMIF(Final!$G$4:$G$330,CashReserveLevy!D273:F273,Final!$C$4:$C$330)),0)</f>
        <v>3738054</v>
      </c>
      <c r="I273" s="8">
        <f t="shared" si="21"/>
        <v>747611</v>
      </c>
      <c r="J273" s="8">
        <f>ROUND(SUMPRODUCT(SUMIF(Final!$G$4:$G$330,CashReserveLevy!D273:F273,Final!$E$4:$E$330)),0)</f>
        <v>1446943</v>
      </c>
      <c r="K273" s="8">
        <f t="shared" si="22"/>
        <v>0</v>
      </c>
      <c r="L273" s="8">
        <f>INDEX(ActualCRLevy_SAS!$A$2:$D$326,MATCH(CashReserveLevy!$C273,ActualCRLevy_SAS!$B$2:$B$326,0),4)</f>
        <v>0</v>
      </c>
      <c r="M273" s="31" t="str">
        <f t="shared" si="23"/>
        <v/>
      </c>
      <c r="N273" s="1" t="str">
        <f t="shared" si="24"/>
        <v/>
      </c>
      <c r="O273" s="1" t="str">
        <f t="shared" si="25"/>
        <v/>
      </c>
    </row>
    <row r="274" spans="1:15" x14ac:dyDescent="0.2">
      <c r="A274" s="7">
        <v>2026</v>
      </c>
      <c r="B274" s="7" t="s">
        <v>28</v>
      </c>
      <c r="C274" s="7" t="s">
        <v>560</v>
      </c>
      <c r="D274" s="7" t="s">
        <v>687</v>
      </c>
      <c r="E274" s="7" t="s">
        <v>687</v>
      </c>
      <c r="F274" s="7" t="s">
        <v>560</v>
      </c>
      <c r="G274" s="7" t="s">
        <v>561</v>
      </c>
      <c r="H274" s="8">
        <f>ROUND(SUMPRODUCT(SUMIF(Final!$G$4:$G$330,CashReserveLevy!D274:F274,Final!$C$4:$C$330)),0)</f>
        <v>8879419</v>
      </c>
      <c r="I274" s="8">
        <f t="shared" si="21"/>
        <v>1775884</v>
      </c>
      <c r="J274" s="8">
        <f>ROUND(SUMPRODUCT(SUMIF(Final!$G$4:$G$330,CashReserveLevy!D274:F274,Final!$E$4:$E$330)),0)</f>
        <v>3584348</v>
      </c>
      <c r="K274" s="8">
        <f t="shared" si="22"/>
        <v>0</v>
      </c>
      <c r="L274" s="8">
        <f>INDEX(ActualCRLevy_SAS!$A$2:$D$326,MATCH(CashReserveLevy!$C274,ActualCRLevy_SAS!$B$2:$B$326,0),4)</f>
        <v>0</v>
      </c>
      <c r="M274" s="31" t="str">
        <f t="shared" si="23"/>
        <v/>
      </c>
      <c r="N274" s="1" t="str">
        <f t="shared" si="24"/>
        <v/>
      </c>
      <c r="O274" s="1" t="str">
        <f t="shared" si="25"/>
        <v/>
      </c>
    </row>
    <row r="275" spans="1:15" x14ac:dyDescent="0.2">
      <c r="A275" s="7">
        <v>2026</v>
      </c>
      <c r="B275" s="7" t="s">
        <v>14</v>
      </c>
      <c r="C275" s="7" t="s">
        <v>562</v>
      </c>
      <c r="D275" s="7" t="s">
        <v>687</v>
      </c>
      <c r="E275" s="7" t="s">
        <v>687</v>
      </c>
      <c r="F275" s="7" t="s">
        <v>562</v>
      </c>
      <c r="G275" s="7" t="s">
        <v>563</v>
      </c>
      <c r="H275" s="8">
        <f>ROUND(SUMPRODUCT(SUMIF(Final!$G$4:$G$330,CashReserveLevy!D275:F275,Final!$C$4:$C$330)),0)</f>
        <v>42442955</v>
      </c>
      <c r="I275" s="8">
        <f t="shared" si="21"/>
        <v>8488591</v>
      </c>
      <c r="J275" s="8">
        <f>ROUND(SUMPRODUCT(SUMIF(Final!$G$4:$G$330,CashReserveLevy!D275:F275,Final!$E$4:$E$330)),0)</f>
        <v>2136399</v>
      </c>
      <c r="K275" s="8">
        <f t="shared" si="22"/>
        <v>6352192</v>
      </c>
      <c r="L275" s="8">
        <f>INDEX(ActualCRLevy_SAS!$A$2:$D$326,MATCH(CashReserveLevy!$C275,ActualCRLevy_SAS!$B$2:$B$326,0),4)</f>
        <v>1150959</v>
      </c>
      <c r="M275" s="31" t="str">
        <f t="shared" si="23"/>
        <v/>
      </c>
      <c r="N275" s="1" t="str">
        <f t="shared" si="24"/>
        <v/>
      </c>
      <c r="O275" s="1" t="str">
        <f t="shared" si="25"/>
        <v/>
      </c>
    </row>
    <row r="276" spans="1:15" x14ac:dyDescent="0.2">
      <c r="A276" s="7">
        <v>2026</v>
      </c>
      <c r="B276" s="7" t="s">
        <v>14</v>
      </c>
      <c r="C276" s="7" t="s">
        <v>564</v>
      </c>
      <c r="D276" s="7" t="s">
        <v>687</v>
      </c>
      <c r="E276" s="7" t="s">
        <v>687</v>
      </c>
      <c r="F276" s="7" t="s">
        <v>564</v>
      </c>
      <c r="G276" s="7" t="s">
        <v>565</v>
      </c>
      <c r="H276" s="8">
        <f>ROUND(SUMPRODUCT(SUMIF(Final!$G$4:$G$330,CashReserveLevy!D276:F276,Final!$C$4:$C$330)),0)</f>
        <v>2487883</v>
      </c>
      <c r="I276" s="8">
        <f t="shared" si="21"/>
        <v>497577</v>
      </c>
      <c r="J276" s="8">
        <f>ROUND(SUMPRODUCT(SUMIF(Final!$G$4:$G$330,CashReserveLevy!D276:F276,Final!$E$4:$E$330)),0)</f>
        <v>126394</v>
      </c>
      <c r="K276" s="8">
        <f t="shared" si="22"/>
        <v>371183</v>
      </c>
      <c r="L276" s="8">
        <f>INDEX(ActualCRLevy_SAS!$A$2:$D$326,MATCH(CashReserveLevy!$C276,ActualCRLevy_SAS!$B$2:$B$326,0),4)</f>
        <v>176000</v>
      </c>
      <c r="M276" s="31" t="str">
        <f t="shared" si="23"/>
        <v/>
      </c>
      <c r="N276" s="1" t="str">
        <f t="shared" si="24"/>
        <v/>
      </c>
      <c r="O276" s="1" t="str">
        <f t="shared" si="25"/>
        <v/>
      </c>
    </row>
    <row r="277" spans="1:15" x14ac:dyDescent="0.2">
      <c r="A277" s="7">
        <v>2026</v>
      </c>
      <c r="B277" s="7" t="s">
        <v>5</v>
      </c>
      <c r="C277" s="7" t="s">
        <v>566</v>
      </c>
      <c r="D277" s="7" t="s">
        <v>687</v>
      </c>
      <c r="E277" s="7" t="s">
        <v>687</v>
      </c>
      <c r="F277" s="7" t="s">
        <v>566</v>
      </c>
      <c r="G277" s="7" t="s">
        <v>567</v>
      </c>
      <c r="H277" s="8">
        <f>ROUND(SUMPRODUCT(SUMIF(Final!$G$4:$G$330,CashReserveLevy!D277:F277,Final!$C$4:$C$330)),0)</f>
        <v>10954106</v>
      </c>
      <c r="I277" s="8">
        <f t="shared" si="21"/>
        <v>2190821</v>
      </c>
      <c r="J277" s="8">
        <f>ROUND(SUMPRODUCT(SUMIF(Final!$G$4:$G$330,CashReserveLevy!D277:F277,Final!$E$4:$E$330)),0)</f>
        <v>1440949</v>
      </c>
      <c r="K277" s="8">
        <f t="shared" si="22"/>
        <v>749872</v>
      </c>
      <c r="L277" s="8">
        <f>INDEX(ActualCRLevy_SAS!$A$2:$D$326,MATCH(CashReserveLevy!$C277,ActualCRLevy_SAS!$B$2:$B$326,0),4)</f>
        <v>202000</v>
      </c>
      <c r="M277" s="31" t="str">
        <f t="shared" si="23"/>
        <v/>
      </c>
      <c r="N277" s="1" t="str">
        <f t="shared" si="24"/>
        <v/>
      </c>
      <c r="O277" s="1" t="str">
        <f t="shared" si="25"/>
        <v/>
      </c>
    </row>
    <row r="278" spans="1:15" x14ac:dyDescent="0.2">
      <c r="A278" s="7">
        <v>2026</v>
      </c>
      <c r="B278" s="7" t="s">
        <v>20</v>
      </c>
      <c r="C278" s="7" t="s">
        <v>568</v>
      </c>
      <c r="D278" s="7" t="s">
        <v>687</v>
      </c>
      <c r="E278" s="7" t="s">
        <v>687</v>
      </c>
      <c r="F278" s="7" t="s">
        <v>568</v>
      </c>
      <c r="G278" s="7" t="s">
        <v>569</v>
      </c>
      <c r="H278" s="8">
        <f>ROUND(SUMPRODUCT(SUMIF(Final!$G$4:$G$330,CashReserveLevy!D278:F278,Final!$C$4:$C$330)),0)</f>
        <v>11768305</v>
      </c>
      <c r="I278" s="8">
        <f t="shared" si="21"/>
        <v>2353661</v>
      </c>
      <c r="J278" s="8">
        <f>ROUND(SUMPRODUCT(SUMIF(Final!$G$4:$G$330,CashReserveLevy!D278:F278,Final!$E$4:$E$330)),0)</f>
        <v>2012894</v>
      </c>
      <c r="K278" s="8">
        <f t="shared" si="22"/>
        <v>340767</v>
      </c>
      <c r="L278" s="8">
        <f>INDEX(ActualCRLevy_SAS!$A$2:$D$326,MATCH(CashReserveLevy!$C278,ActualCRLevy_SAS!$B$2:$B$326,0),4)</f>
        <v>340767</v>
      </c>
      <c r="M278" s="31" t="str">
        <f t="shared" si="23"/>
        <v>Max</v>
      </c>
      <c r="N278" s="1" t="str">
        <f t="shared" si="24"/>
        <v/>
      </c>
      <c r="O278" s="1" t="str">
        <f t="shared" si="25"/>
        <v/>
      </c>
    </row>
    <row r="279" spans="1:15" x14ac:dyDescent="0.2">
      <c r="A279" s="7">
        <v>2026</v>
      </c>
      <c r="B279" s="7" t="s">
        <v>8</v>
      </c>
      <c r="C279" s="7" t="s">
        <v>570</v>
      </c>
      <c r="D279" s="7" t="s">
        <v>687</v>
      </c>
      <c r="E279" s="7" t="s">
        <v>687</v>
      </c>
      <c r="F279" s="7" t="s">
        <v>570</v>
      </c>
      <c r="G279" s="7" t="s">
        <v>571</v>
      </c>
      <c r="H279" s="8">
        <f>ROUND(SUMPRODUCT(SUMIF(Final!$G$4:$G$330,CashReserveLevy!D279:F279,Final!$C$4:$C$330)),0)</f>
        <v>9144390</v>
      </c>
      <c r="I279" s="8">
        <f t="shared" si="21"/>
        <v>1828878</v>
      </c>
      <c r="J279" s="8">
        <f>ROUND(SUMPRODUCT(SUMIF(Final!$G$4:$G$330,CashReserveLevy!D279:F279,Final!$E$4:$E$330)),0)</f>
        <v>2257154</v>
      </c>
      <c r="K279" s="8">
        <f t="shared" si="22"/>
        <v>0</v>
      </c>
      <c r="L279" s="8">
        <f>INDEX(ActualCRLevy_SAS!$A$2:$D$326,MATCH(CashReserveLevy!$C279,ActualCRLevy_SAS!$B$2:$B$326,0),4)</f>
        <v>0</v>
      </c>
      <c r="M279" s="31" t="str">
        <f t="shared" si="23"/>
        <v/>
      </c>
      <c r="N279" s="1" t="str">
        <f t="shared" si="24"/>
        <v/>
      </c>
      <c r="O279" s="1" t="str">
        <f t="shared" si="25"/>
        <v/>
      </c>
    </row>
    <row r="280" spans="1:15" x14ac:dyDescent="0.2">
      <c r="A280" s="7">
        <v>2026</v>
      </c>
      <c r="B280" s="7" t="s">
        <v>8</v>
      </c>
      <c r="C280" s="7" t="s">
        <v>572</v>
      </c>
      <c r="D280" s="7" t="s">
        <v>687</v>
      </c>
      <c r="E280" s="7" t="s">
        <v>687</v>
      </c>
      <c r="F280" s="7" t="s">
        <v>572</v>
      </c>
      <c r="G280" s="7" t="s">
        <v>573</v>
      </c>
      <c r="H280" s="8">
        <f>ROUND(SUMPRODUCT(SUMIF(Final!$G$4:$G$330,CashReserveLevy!D280:F280,Final!$C$4:$C$330)),0)</f>
        <v>9215071</v>
      </c>
      <c r="I280" s="8">
        <f t="shared" si="21"/>
        <v>1843014</v>
      </c>
      <c r="J280" s="8">
        <f>ROUND(SUMPRODUCT(SUMIF(Final!$G$4:$G$330,CashReserveLevy!D280:F280,Final!$E$4:$E$330)),0)</f>
        <v>3869147</v>
      </c>
      <c r="K280" s="8">
        <f t="shared" si="22"/>
        <v>0</v>
      </c>
      <c r="L280" s="8">
        <f>INDEX(ActualCRLevy_SAS!$A$2:$D$326,MATCH(CashReserveLevy!$C280,ActualCRLevy_SAS!$B$2:$B$326,0),4)</f>
        <v>0</v>
      </c>
      <c r="M280" s="31" t="str">
        <f t="shared" si="23"/>
        <v/>
      </c>
      <c r="N280" s="1" t="str">
        <f t="shared" si="24"/>
        <v/>
      </c>
      <c r="O280" s="1" t="str">
        <f t="shared" si="25"/>
        <v/>
      </c>
    </row>
    <row r="281" spans="1:15" x14ac:dyDescent="0.2">
      <c r="A281" s="7">
        <v>2026</v>
      </c>
      <c r="B281" s="7" t="s">
        <v>17</v>
      </c>
      <c r="C281" s="7" t="s">
        <v>574</v>
      </c>
      <c r="D281" s="7" t="s">
        <v>687</v>
      </c>
      <c r="E281" s="7" t="s">
        <v>687</v>
      </c>
      <c r="F281" s="7" t="s">
        <v>574</v>
      </c>
      <c r="G281" s="7" t="s">
        <v>575</v>
      </c>
      <c r="H281" s="8">
        <f>ROUND(SUMPRODUCT(SUMIF(Final!$G$4:$G$330,CashReserveLevy!D281:F281,Final!$C$4:$C$330)),0)</f>
        <v>4220802</v>
      </c>
      <c r="I281" s="8">
        <f t="shared" si="21"/>
        <v>844160</v>
      </c>
      <c r="J281" s="8">
        <f>ROUND(SUMPRODUCT(SUMIF(Final!$G$4:$G$330,CashReserveLevy!D281:F281,Final!$E$4:$E$330)),0)</f>
        <v>1540161</v>
      </c>
      <c r="K281" s="8">
        <f t="shared" si="22"/>
        <v>0</v>
      </c>
      <c r="L281" s="8">
        <f>INDEX(ActualCRLevy_SAS!$A$2:$D$326,MATCH(CashReserveLevy!$C281,ActualCRLevy_SAS!$B$2:$B$326,0),4)</f>
        <v>0</v>
      </c>
      <c r="M281" s="31" t="str">
        <f t="shared" si="23"/>
        <v/>
      </c>
      <c r="N281" s="1" t="str">
        <f t="shared" si="24"/>
        <v/>
      </c>
      <c r="O281" s="1" t="str">
        <f t="shared" si="25"/>
        <v/>
      </c>
    </row>
    <row r="282" spans="1:15" x14ac:dyDescent="0.2">
      <c r="A282" s="7">
        <v>2026</v>
      </c>
      <c r="B282" s="7" t="s">
        <v>5</v>
      </c>
      <c r="C282" s="7" t="s">
        <v>576</v>
      </c>
      <c r="D282" s="7" t="s">
        <v>687</v>
      </c>
      <c r="E282" s="7" t="s">
        <v>687</v>
      </c>
      <c r="F282" s="7" t="s">
        <v>576</v>
      </c>
      <c r="G282" s="7" t="s">
        <v>577</v>
      </c>
      <c r="H282" s="8">
        <f>ROUND(SUMPRODUCT(SUMIF(Final!$G$4:$G$330,CashReserveLevy!D282:F282,Final!$C$4:$C$330)),0)</f>
        <v>6689991</v>
      </c>
      <c r="I282" s="8">
        <f t="shared" si="21"/>
        <v>1337998</v>
      </c>
      <c r="J282" s="8">
        <f>ROUND(SUMPRODUCT(SUMIF(Final!$G$4:$G$330,CashReserveLevy!D282:F282,Final!$E$4:$E$330)),0)</f>
        <v>-333058</v>
      </c>
      <c r="K282" s="8">
        <f t="shared" si="22"/>
        <v>1671056</v>
      </c>
      <c r="L282" s="8">
        <f>INDEX(ActualCRLevy_SAS!$A$2:$D$326,MATCH(CashReserveLevy!$C282,ActualCRLevy_SAS!$B$2:$B$326,0),4)</f>
        <v>450000</v>
      </c>
      <c r="M282" s="31" t="str">
        <f t="shared" si="23"/>
        <v/>
      </c>
      <c r="N282" s="1" t="str">
        <f t="shared" si="24"/>
        <v/>
      </c>
      <c r="O282" s="1" t="str">
        <f t="shared" si="25"/>
        <v/>
      </c>
    </row>
    <row r="283" spans="1:15" x14ac:dyDescent="0.2">
      <c r="A283" s="7">
        <v>2026</v>
      </c>
      <c r="B283" s="7" t="s">
        <v>28</v>
      </c>
      <c r="C283" s="7" t="s">
        <v>578</v>
      </c>
      <c r="D283" s="7" t="s">
        <v>687</v>
      </c>
      <c r="E283" s="7" t="s">
        <v>687</v>
      </c>
      <c r="F283" s="7" t="s">
        <v>578</v>
      </c>
      <c r="G283" s="7" t="s">
        <v>579</v>
      </c>
      <c r="H283" s="8">
        <f>ROUND(SUMPRODUCT(SUMIF(Final!$G$4:$G$330,CashReserveLevy!D283:F283,Final!$C$4:$C$330)),0)</f>
        <v>6548025</v>
      </c>
      <c r="I283" s="8">
        <f t="shared" si="21"/>
        <v>1309605</v>
      </c>
      <c r="J283" s="8">
        <f>ROUND(SUMPRODUCT(SUMIF(Final!$G$4:$G$330,CashReserveLevy!D283:F283,Final!$E$4:$E$330)),0)</f>
        <v>1349145</v>
      </c>
      <c r="K283" s="8">
        <f t="shared" si="22"/>
        <v>0</v>
      </c>
      <c r="L283" s="8">
        <f>INDEX(ActualCRLevy_SAS!$A$2:$D$326,MATCH(CashReserveLevy!$C283,ActualCRLevy_SAS!$B$2:$B$326,0),4)</f>
        <v>0</v>
      </c>
      <c r="M283" s="31" t="str">
        <f t="shared" si="23"/>
        <v/>
      </c>
      <c r="N283" s="1" t="str">
        <f t="shared" si="24"/>
        <v/>
      </c>
      <c r="O283" s="1" t="str">
        <f t="shared" si="25"/>
        <v/>
      </c>
    </row>
    <row r="284" spans="1:15" x14ac:dyDescent="0.2">
      <c r="A284" s="7">
        <v>2026</v>
      </c>
      <c r="B284" s="7" t="s">
        <v>0</v>
      </c>
      <c r="C284" s="7" t="s">
        <v>580</v>
      </c>
      <c r="D284" s="7" t="s">
        <v>687</v>
      </c>
      <c r="E284" s="7" t="s">
        <v>687</v>
      </c>
      <c r="F284" s="7" t="s">
        <v>580</v>
      </c>
      <c r="G284" s="7" t="s">
        <v>581</v>
      </c>
      <c r="H284" s="8">
        <f>ROUND(SUMPRODUCT(SUMIF(Final!$G$4:$G$330,CashReserveLevy!D284:F284,Final!$C$4:$C$330)),0)</f>
        <v>5146099</v>
      </c>
      <c r="I284" s="8">
        <f t="shared" si="21"/>
        <v>1029220</v>
      </c>
      <c r="J284" s="8">
        <f>ROUND(SUMPRODUCT(SUMIF(Final!$G$4:$G$330,CashReserveLevy!D284:F284,Final!$E$4:$E$330)),0)</f>
        <v>1877174</v>
      </c>
      <c r="K284" s="8">
        <f t="shared" si="22"/>
        <v>0</v>
      </c>
      <c r="L284" s="8">
        <f>INDEX(ActualCRLevy_SAS!$A$2:$D$326,MATCH(CashReserveLevy!$C284,ActualCRLevy_SAS!$B$2:$B$326,0),4)</f>
        <v>0</v>
      </c>
      <c r="M284" s="31" t="str">
        <f t="shared" si="23"/>
        <v/>
      </c>
      <c r="N284" s="1" t="str">
        <f t="shared" si="24"/>
        <v/>
      </c>
      <c r="O284" s="1" t="str">
        <f t="shared" si="25"/>
        <v/>
      </c>
    </row>
    <row r="285" spans="1:15" x14ac:dyDescent="0.2">
      <c r="A285" s="7">
        <v>2026</v>
      </c>
      <c r="B285" s="7" t="s">
        <v>14</v>
      </c>
      <c r="C285" s="7" t="s">
        <v>582</v>
      </c>
      <c r="D285" s="7" t="s">
        <v>687</v>
      </c>
      <c r="E285" s="7" t="s">
        <v>687</v>
      </c>
      <c r="F285" s="7" t="s">
        <v>582</v>
      </c>
      <c r="G285" s="7" t="s">
        <v>583</v>
      </c>
      <c r="H285" s="8">
        <f>ROUND(SUMPRODUCT(SUMIF(Final!$G$4:$G$330,CashReserveLevy!D285:F285,Final!$C$4:$C$330)),0)</f>
        <v>2989787</v>
      </c>
      <c r="I285" s="8">
        <f t="shared" si="21"/>
        <v>597957</v>
      </c>
      <c r="J285" s="8">
        <f>ROUND(SUMPRODUCT(SUMIF(Final!$G$4:$G$330,CashReserveLevy!D285:F285,Final!$E$4:$E$330)),0)</f>
        <v>1790107</v>
      </c>
      <c r="K285" s="8">
        <f t="shared" si="22"/>
        <v>0</v>
      </c>
      <c r="L285" s="8">
        <f>INDEX(ActualCRLevy_SAS!$A$2:$D$326,MATCH(CashReserveLevy!$C285,ActualCRLevy_SAS!$B$2:$B$326,0),4)</f>
        <v>0</v>
      </c>
      <c r="M285" s="31" t="str">
        <f t="shared" si="23"/>
        <v/>
      </c>
      <c r="N285" s="1" t="str">
        <f t="shared" si="24"/>
        <v/>
      </c>
      <c r="O285" s="1" t="str">
        <f t="shared" si="25"/>
        <v/>
      </c>
    </row>
    <row r="286" spans="1:15" x14ac:dyDescent="0.2">
      <c r="A286" s="7">
        <v>2026</v>
      </c>
      <c r="B286" s="7" t="s">
        <v>8</v>
      </c>
      <c r="C286" s="7" t="s">
        <v>584</v>
      </c>
      <c r="D286" s="7" t="s">
        <v>687</v>
      </c>
      <c r="E286" s="7" t="s">
        <v>687</v>
      </c>
      <c r="F286" s="7" t="s">
        <v>584</v>
      </c>
      <c r="G286" s="7" t="s">
        <v>585</v>
      </c>
      <c r="H286" s="8">
        <f>ROUND(SUMPRODUCT(SUMIF(Final!$G$4:$G$330,CashReserveLevy!D286:F286,Final!$C$4:$C$330)),0)</f>
        <v>10254271</v>
      </c>
      <c r="I286" s="8">
        <f t="shared" si="21"/>
        <v>2050854</v>
      </c>
      <c r="J286" s="8">
        <f>ROUND(SUMPRODUCT(SUMIF(Final!$G$4:$G$330,CashReserveLevy!D286:F286,Final!$E$4:$E$330)),0)</f>
        <v>1324813</v>
      </c>
      <c r="K286" s="8">
        <f t="shared" si="22"/>
        <v>726041</v>
      </c>
      <c r="L286" s="8">
        <f>INDEX(ActualCRLevy_SAS!$A$2:$D$326,MATCH(CashReserveLevy!$C286,ActualCRLevy_SAS!$B$2:$B$326,0),4)</f>
        <v>507536</v>
      </c>
      <c r="M286" s="31" t="str">
        <f t="shared" si="23"/>
        <v/>
      </c>
      <c r="N286" s="1" t="str">
        <f t="shared" si="24"/>
        <v/>
      </c>
      <c r="O286" s="1" t="str">
        <f t="shared" si="25"/>
        <v/>
      </c>
    </row>
    <row r="287" spans="1:15" x14ac:dyDescent="0.2">
      <c r="A287" s="7">
        <v>2026</v>
      </c>
      <c r="B287" s="7" t="s">
        <v>5</v>
      </c>
      <c r="C287" s="7" t="s">
        <v>586</v>
      </c>
      <c r="D287" s="7" t="s">
        <v>687</v>
      </c>
      <c r="E287" s="7" t="s">
        <v>687</v>
      </c>
      <c r="F287" s="7" t="s">
        <v>587</v>
      </c>
      <c r="G287" s="7" t="s">
        <v>588</v>
      </c>
      <c r="H287" s="8">
        <f>ROUND(SUMPRODUCT(SUMIF(Final!$G$4:$G$330,CashReserveLevy!D287:F287,Final!$C$4:$C$330)),0)</f>
        <v>13681562</v>
      </c>
      <c r="I287" s="8">
        <f t="shared" si="21"/>
        <v>2736312</v>
      </c>
      <c r="J287" s="8">
        <f>ROUND(SUMPRODUCT(SUMIF(Final!$G$4:$G$330,CashReserveLevy!D287:F287,Final!$E$4:$E$330)),0)</f>
        <v>2671519</v>
      </c>
      <c r="K287" s="8">
        <f t="shared" si="22"/>
        <v>64793</v>
      </c>
      <c r="L287" s="8">
        <f>INDEX(ActualCRLevy_SAS!$A$2:$D$326,MATCH(CashReserveLevy!$C287,ActualCRLevy_SAS!$B$2:$B$326,0),4)</f>
        <v>64793</v>
      </c>
      <c r="M287" s="31" t="str">
        <f t="shared" si="23"/>
        <v>Max</v>
      </c>
      <c r="N287" s="1" t="str">
        <f t="shared" si="24"/>
        <v/>
      </c>
      <c r="O287" s="1" t="str">
        <f t="shared" si="25"/>
        <v/>
      </c>
    </row>
    <row r="288" spans="1:15" x14ac:dyDescent="0.2">
      <c r="A288" s="7">
        <v>2026</v>
      </c>
      <c r="B288" s="7" t="s">
        <v>0</v>
      </c>
      <c r="C288" s="7" t="s">
        <v>589</v>
      </c>
      <c r="D288" s="7" t="s">
        <v>687</v>
      </c>
      <c r="E288" s="7" t="s">
        <v>687</v>
      </c>
      <c r="F288" s="7" t="s">
        <v>589</v>
      </c>
      <c r="G288" s="7" t="s">
        <v>590</v>
      </c>
      <c r="H288" s="8">
        <f>ROUND(SUMPRODUCT(SUMIF(Final!$G$4:$G$330,CashReserveLevy!D288:F288,Final!$C$4:$C$330)),0)</f>
        <v>6063563</v>
      </c>
      <c r="I288" s="8">
        <f t="shared" si="21"/>
        <v>1212713</v>
      </c>
      <c r="J288" s="8">
        <f>ROUND(SUMPRODUCT(SUMIF(Final!$G$4:$G$330,CashReserveLevy!D288:F288,Final!$E$4:$E$330)),0)</f>
        <v>2825565</v>
      </c>
      <c r="K288" s="8">
        <f t="shared" si="22"/>
        <v>0</v>
      </c>
      <c r="L288" s="8">
        <f>INDEX(ActualCRLevy_SAS!$A$2:$D$326,MATCH(CashReserveLevy!$C288,ActualCRLevy_SAS!$B$2:$B$326,0),4)</f>
        <v>0</v>
      </c>
      <c r="M288" s="31" t="str">
        <f t="shared" si="23"/>
        <v/>
      </c>
      <c r="N288" s="1" t="str">
        <f t="shared" si="24"/>
        <v/>
      </c>
      <c r="O288" s="1" t="str">
        <f t="shared" si="25"/>
        <v/>
      </c>
    </row>
    <row r="289" spans="1:15" x14ac:dyDescent="0.2">
      <c r="A289" s="7">
        <v>2026</v>
      </c>
      <c r="B289" s="7" t="s">
        <v>0</v>
      </c>
      <c r="C289" s="7" t="s">
        <v>591</v>
      </c>
      <c r="D289" s="7" t="s">
        <v>687</v>
      </c>
      <c r="E289" s="7" t="s">
        <v>687</v>
      </c>
      <c r="F289" s="7" t="s">
        <v>591</v>
      </c>
      <c r="G289" s="7" t="s">
        <v>592</v>
      </c>
      <c r="H289" s="8">
        <f>ROUND(SUMPRODUCT(SUMIF(Final!$G$4:$G$330,CashReserveLevy!D289:F289,Final!$C$4:$C$330)),0)</f>
        <v>56216780</v>
      </c>
      <c r="I289" s="8">
        <f t="shared" si="21"/>
        <v>11243356</v>
      </c>
      <c r="J289" s="8">
        <f>ROUND(SUMPRODUCT(SUMIF(Final!$G$4:$G$330,CashReserveLevy!D289:F289,Final!$E$4:$E$330)),0)</f>
        <v>3934245</v>
      </c>
      <c r="K289" s="8">
        <f t="shared" si="22"/>
        <v>7309111</v>
      </c>
      <c r="L289" s="8">
        <f>INDEX(ActualCRLevy_SAS!$A$2:$D$326,MATCH(CashReserveLevy!$C289,ActualCRLevy_SAS!$B$2:$B$326,0),4)</f>
        <v>4793000</v>
      </c>
      <c r="M289" s="31" t="str">
        <f t="shared" si="23"/>
        <v/>
      </c>
      <c r="N289" s="1" t="str">
        <f t="shared" si="24"/>
        <v/>
      </c>
      <c r="O289" s="1" t="str">
        <f t="shared" si="25"/>
        <v/>
      </c>
    </row>
    <row r="290" spans="1:15" x14ac:dyDescent="0.2">
      <c r="A290" s="7">
        <v>2026</v>
      </c>
      <c r="B290" s="7" t="s">
        <v>17</v>
      </c>
      <c r="C290" s="7" t="s">
        <v>593</v>
      </c>
      <c r="D290" s="7" t="s">
        <v>687</v>
      </c>
      <c r="E290" s="7" t="s">
        <v>687</v>
      </c>
      <c r="F290" s="7" t="s">
        <v>593</v>
      </c>
      <c r="G290" s="7" t="s">
        <v>688</v>
      </c>
      <c r="H290" s="8">
        <f>ROUND(SUMPRODUCT(SUMIF(Final!$G$4:$G$330,CashReserveLevy!D290:F290,Final!$C$4:$C$330)),0)</f>
        <v>13818405</v>
      </c>
      <c r="I290" s="8">
        <f t="shared" si="21"/>
        <v>2763681</v>
      </c>
      <c r="J290" s="8">
        <f>ROUND(SUMPRODUCT(SUMIF(Final!$G$4:$G$330,CashReserveLevy!D290:F290,Final!$E$4:$E$330)),0)</f>
        <v>6333589</v>
      </c>
      <c r="K290" s="8">
        <f t="shared" si="22"/>
        <v>0</v>
      </c>
      <c r="L290" s="8">
        <f>INDEX(ActualCRLevy_SAS!$A$2:$D$326,MATCH(CashReserveLevy!$C290,ActualCRLevy_SAS!$B$2:$B$326,0),4)</f>
        <v>0</v>
      </c>
      <c r="M290" s="31" t="str">
        <f t="shared" si="23"/>
        <v/>
      </c>
      <c r="N290" s="1" t="str">
        <f t="shared" si="24"/>
        <v/>
      </c>
      <c r="O290" s="1" t="str">
        <f t="shared" si="25"/>
        <v/>
      </c>
    </row>
    <row r="291" spans="1:15" x14ac:dyDescent="0.2">
      <c r="A291" s="7">
        <v>2026</v>
      </c>
      <c r="B291" s="7" t="s">
        <v>0</v>
      </c>
      <c r="C291" s="7" t="s">
        <v>594</v>
      </c>
      <c r="D291" s="7" t="s">
        <v>687</v>
      </c>
      <c r="E291" s="7" t="s">
        <v>687</v>
      </c>
      <c r="F291" s="7" t="s">
        <v>594</v>
      </c>
      <c r="G291" s="7" t="s">
        <v>595</v>
      </c>
      <c r="H291" s="8">
        <f>ROUND(SUMPRODUCT(SUMIF(Final!$G$4:$G$330,CashReserveLevy!D291:F291,Final!$C$4:$C$330)),0)</f>
        <v>11465314</v>
      </c>
      <c r="I291" s="8">
        <f t="shared" si="21"/>
        <v>2293063</v>
      </c>
      <c r="J291" s="8">
        <f>ROUND(SUMPRODUCT(SUMIF(Final!$G$4:$G$330,CashReserveLevy!D291:F291,Final!$E$4:$E$330)),0)</f>
        <v>3535288</v>
      </c>
      <c r="K291" s="8">
        <f t="shared" si="22"/>
        <v>0</v>
      </c>
      <c r="L291" s="8">
        <f>INDEX(ActualCRLevy_SAS!$A$2:$D$326,MATCH(CashReserveLevy!$C291,ActualCRLevy_SAS!$B$2:$B$326,0),4)</f>
        <v>0</v>
      </c>
      <c r="M291" s="31" t="str">
        <f t="shared" si="23"/>
        <v/>
      </c>
      <c r="N291" s="1" t="str">
        <f t="shared" si="24"/>
        <v/>
      </c>
      <c r="O291" s="1" t="str">
        <f t="shared" si="25"/>
        <v/>
      </c>
    </row>
    <row r="292" spans="1:15" x14ac:dyDescent="0.2">
      <c r="A292" s="7">
        <v>2026</v>
      </c>
      <c r="B292" s="7" t="s">
        <v>8</v>
      </c>
      <c r="C292" s="7" t="s">
        <v>596</v>
      </c>
      <c r="D292" s="7" t="s">
        <v>687</v>
      </c>
      <c r="E292" s="7" t="s">
        <v>687</v>
      </c>
      <c r="F292" s="7" t="s">
        <v>596</v>
      </c>
      <c r="G292" s="7" t="s">
        <v>597</v>
      </c>
      <c r="H292" s="8">
        <f>ROUND(SUMPRODUCT(SUMIF(Final!$G$4:$G$330,CashReserveLevy!D292:F292,Final!$C$4:$C$330)),0)</f>
        <v>5060362</v>
      </c>
      <c r="I292" s="8">
        <f t="shared" si="21"/>
        <v>1012072</v>
      </c>
      <c r="J292" s="8">
        <f>ROUND(SUMPRODUCT(SUMIF(Final!$G$4:$G$330,CashReserveLevy!D292:F292,Final!$E$4:$E$330)),0)</f>
        <v>1207910</v>
      </c>
      <c r="K292" s="8">
        <f t="shared" si="22"/>
        <v>0</v>
      </c>
      <c r="L292" s="8">
        <f>INDEX(ActualCRLevy_SAS!$A$2:$D$326,MATCH(CashReserveLevy!$C292,ActualCRLevy_SAS!$B$2:$B$326,0),4)</f>
        <v>0</v>
      </c>
      <c r="M292" s="31" t="str">
        <f t="shared" si="23"/>
        <v/>
      </c>
      <c r="N292" s="1" t="str">
        <f t="shared" si="24"/>
        <v/>
      </c>
      <c r="O292" s="1" t="str">
        <f t="shared" si="25"/>
        <v/>
      </c>
    </row>
    <row r="293" spans="1:15" x14ac:dyDescent="0.2">
      <c r="A293" s="7">
        <v>2026</v>
      </c>
      <c r="B293" s="7" t="s">
        <v>20</v>
      </c>
      <c r="C293" s="7" t="s">
        <v>598</v>
      </c>
      <c r="D293" s="7" t="s">
        <v>687</v>
      </c>
      <c r="E293" s="7" t="s">
        <v>687</v>
      </c>
      <c r="F293" s="7" t="s">
        <v>598</v>
      </c>
      <c r="G293" s="7" t="s">
        <v>599</v>
      </c>
      <c r="H293" s="8">
        <f>ROUND(SUMPRODUCT(SUMIF(Final!$G$4:$G$330,CashReserveLevy!D293:F293,Final!$C$4:$C$330)),0)</f>
        <v>22424580</v>
      </c>
      <c r="I293" s="8">
        <f>ROUND(H293*0.2,0)</f>
        <v>4484916</v>
      </c>
      <c r="J293" s="8">
        <f>ROUND(SUMPRODUCT(SUMIF(Final!$G$4:$G$330,CashReserveLevy!D293:F293,Final!$E$4:$E$330)),0)</f>
        <v>1562911</v>
      </c>
      <c r="K293" s="8">
        <f t="shared" si="22"/>
        <v>2922005</v>
      </c>
      <c r="L293" s="8">
        <f>INDEX(ActualCRLevy_SAS!$A$2:$D$326,MATCH(CashReserveLevy!$C293,ActualCRLevy_SAS!$B$2:$B$326,0),4)</f>
        <v>1692699</v>
      </c>
      <c r="M293" s="31" t="str">
        <f t="shared" si="23"/>
        <v/>
      </c>
      <c r="N293" s="1" t="str">
        <f t="shared" si="24"/>
        <v/>
      </c>
      <c r="O293" s="1" t="str">
        <f t="shared" si="25"/>
        <v/>
      </c>
    </row>
    <row r="294" spans="1:15" x14ac:dyDescent="0.2">
      <c r="A294" s="7">
        <v>2026</v>
      </c>
      <c r="B294" s="7" t="s">
        <v>17</v>
      </c>
      <c r="C294" s="7" t="s">
        <v>600</v>
      </c>
      <c r="D294" s="7" t="s">
        <v>687</v>
      </c>
      <c r="E294" s="7" t="s">
        <v>687</v>
      </c>
      <c r="F294" s="7" t="s">
        <v>600</v>
      </c>
      <c r="G294" s="7" t="s">
        <v>601</v>
      </c>
      <c r="H294" s="8">
        <f>ROUND(SUMPRODUCT(SUMIF(Final!$G$4:$G$330,CashReserveLevy!D294:F294,Final!$C$4:$C$330)),0)</f>
        <v>7459893</v>
      </c>
      <c r="I294" s="8">
        <f t="shared" si="21"/>
        <v>1491979</v>
      </c>
      <c r="J294" s="8">
        <f>ROUND(SUMPRODUCT(SUMIF(Final!$G$4:$G$330,CashReserveLevy!D294:F294,Final!$E$4:$E$330)),0)</f>
        <v>1154241</v>
      </c>
      <c r="K294" s="8">
        <f t="shared" si="22"/>
        <v>337738</v>
      </c>
      <c r="L294" s="8">
        <f>INDEX(ActualCRLevy_SAS!$A$2:$D$326,MATCH(CashReserveLevy!$C294,ActualCRLevy_SAS!$B$2:$B$326,0),4)</f>
        <v>150000</v>
      </c>
      <c r="M294" s="31" t="str">
        <f t="shared" si="23"/>
        <v/>
      </c>
      <c r="N294" s="1" t="str">
        <f t="shared" si="24"/>
        <v/>
      </c>
      <c r="O294" s="1" t="str">
        <f t="shared" si="25"/>
        <v/>
      </c>
    </row>
    <row r="295" spans="1:15" x14ac:dyDescent="0.2">
      <c r="A295" s="7">
        <v>2026</v>
      </c>
      <c r="B295" s="7" t="s">
        <v>17</v>
      </c>
      <c r="C295" s="7" t="s">
        <v>602</v>
      </c>
      <c r="D295" s="7" t="s">
        <v>687</v>
      </c>
      <c r="E295" s="7" t="s">
        <v>687</v>
      </c>
      <c r="F295" s="7" t="s">
        <v>602</v>
      </c>
      <c r="G295" s="7" t="s">
        <v>603</v>
      </c>
      <c r="H295" s="8">
        <f>ROUND(SUMPRODUCT(SUMIF(Final!$G$4:$G$330,CashReserveLevy!D295:F295,Final!$C$4:$C$330)),0)</f>
        <v>8353715</v>
      </c>
      <c r="I295" s="8">
        <f t="shared" si="21"/>
        <v>1670743</v>
      </c>
      <c r="J295" s="8">
        <f>ROUND(SUMPRODUCT(SUMIF(Final!$G$4:$G$330,CashReserveLevy!D295:F295,Final!$E$4:$E$330)),0)</f>
        <v>663042</v>
      </c>
      <c r="K295" s="8">
        <f t="shared" si="22"/>
        <v>1007701</v>
      </c>
      <c r="L295" s="8">
        <f>INDEX(ActualCRLevy_SAS!$A$2:$D$326,MATCH(CashReserveLevy!$C295,ActualCRLevy_SAS!$B$2:$B$326,0),4)</f>
        <v>536139</v>
      </c>
      <c r="M295" s="31" t="str">
        <f t="shared" si="23"/>
        <v/>
      </c>
      <c r="N295" s="1" t="str">
        <f t="shared" si="24"/>
        <v/>
      </c>
      <c r="O295" s="1" t="str">
        <f t="shared" si="25"/>
        <v/>
      </c>
    </row>
    <row r="296" spans="1:15" x14ac:dyDescent="0.2">
      <c r="A296" s="7">
        <v>2026</v>
      </c>
      <c r="B296" s="7" t="s">
        <v>5</v>
      </c>
      <c r="C296" s="7" t="s">
        <v>604</v>
      </c>
      <c r="D296" s="7" t="s">
        <v>687</v>
      </c>
      <c r="E296" s="7" t="s">
        <v>687</v>
      </c>
      <c r="F296" s="7" t="s">
        <v>604</v>
      </c>
      <c r="G296" s="7" t="s">
        <v>605</v>
      </c>
      <c r="H296" s="8">
        <f>ROUND(SUMPRODUCT(SUMIF(Final!$G$4:$G$330,CashReserveLevy!D296:F296,Final!$C$4:$C$330)),0)</f>
        <v>9559531</v>
      </c>
      <c r="I296" s="8">
        <f t="shared" si="21"/>
        <v>1911906</v>
      </c>
      <c r="J296" s="8">
        <f>ROUND(SUMPRODUCT(SUMIF(Final!$G$4:$G$330,CashReserveLevy!D296:F296,Final!$E$4:$E$330)),0)</f>
        <v>483927</v>
      </c>
      <c r="K296" s="8">
        <f t="shared" si="22"/>
        <v>1427979</v>
      </c>
      <c r="L296" s="8">
        <f>INDEX(ActualCRLevy_SAS!$A$2:$D$326,MATCH(CashReserveLevy!$C296,ActualCRLevy_SAS!$B$2:$B$326,0),4)</f>
        <v>450000</v>
      </c>
      <c r="M296" s="31" t="str">
        <f t="shared" si="23"/>
        <v/>
      </c>
      <c r="N296" s="1" t="str">
        <f t="shared" si="24"/>
        <v/>
      </c>
      <c r="O296" s="1" t="str">
        <f t="shared" si="25"/>
        <v/>
      </c>
    </row>
    <row r="297" spans="1:15" x14ac:dyDescent="0.2">
      <c r="A297" s="7">
        <v>2026</v>
      </c>
      <c r="B297" s="7" t="s">
        <v>20</v>
      </c>
      <c r="C297" s="7" t="s">
        <v>606</v>
      </c>
      <c r="D297" s="7" t="s">
        <v>687</v>
      </c>
      <c r="E297" s="7" t="s">
        <v>687</v>
      </c>
      <c r="F297" s="7" t="s">
        <v>606</v>
      </c>
      <c r="G297" s="7" t="s">
        <v>607</v>
      </c>
      <c r="H297" s="8">
        <f>ROUND(SUMPRODUCT(SUMIF(Final!$G$4:$G$330,CashReserveLevy!D297:F297,Final!$C$4:$C$330)),0)</f>
        <v>23880711</v>
      </c>
      <c r="I297" s="8">
        <f t="shared" si="21"/>
        <v>4776142</v>
      </c>
      <c r="J297" s="8">
        <f>ROUND(SUMPRODUCT(SUMIF(Final!$G$4:$G$330,CashReserveLevy!D297:F297,Final!$E$4:$E$330)),0)</f>
        <v>3946619</v>
      </c>
      <c r="K297" s="8">
        <f t="shared" si="22"/>
        <v>829523</v>
      </c>
      <c r="L297" s="8">
        <f>INDEX(ActualCRLevy_SAS!$A$2:$D$326,MATCH(CashReserveLevy!$C297,ActualCRLevy_SAS!$B$2:$B$326,0),4)</f>
        <v>829523</v>
      </c>
      <c r="M297" s="31" t="str">
        <f t="shared" si="23"/>
        <v>Max</v>
      </c>
      <c r="N297" s="1" t="str">
        <f t="shared" si="24"/>
        <v/>
      </c>
      <c r="O297" s="1" t="str">
        <f t="shared" si="25"/>
        <v/>
      </c>
    </row>
    <row r="298" spans="1:15" x14ac:dyDescent="0.2">
      <c r="A298" s="7">
        <v>2026</v>
      </c>
      <c r="B298" s="7" t="s">
        <v>5</v>
      </c>
      <c r="C298" s="7" t="s">
        <v>608</v>
      </c>
      <c r="D298" s="7" t="s">
        <v>687</v>
      </c>
      <c r="E298" s="7" t="s">
        <v>687</v>
      </c>
      <c r="F298" s="7" t="s">
        <v>608</v>
      </c>
      <c r="G298" s="7" t="s">
        <v>609</v>
      </c>
      <c r="H298" s="8">
        <f>ROUND(SUMPRODUCT(SUMIF(Final!$G$4:$G$330,CashReserveLevy!D298:F298,Final!$C$4:$C$330)),0)</f>
        <v>169197344</v>
      </c>
      <c r="I298" s="8">
        <f t="shared" si="21"/>
        <v>33839469</v>
      </c>
      <c r="J298" s="8">
        <f>ROUND(SUMPRODUCT(SUMIF(Final!$G$4:$G$330,CashReserveLevy!D298:F298,Final!$E$4:$E$330)),0)</f>
        <v>9798586</v>
      </c>
      <c r="K298" s="8">
        <f t="shared" si="22"/>
        <v>24040883</v>
      </c>
      <c r="L298" s="8">
        <f>INDEX(ActualCRLevy_SAS!$A$2:$D$326,MATCH(CashReserveLevy!$C298,ActualCRLevy_SAS!$B$2:$B$326,0),4)</f>
        <v>11000000</v>
      </c>
      <c r="M298" s="31" t="str">
        <f t="shared" si="23"/>
        <v/>
      </c>
      <c r="N298" s="1" t="str">
        <f t="shared" si="24"/>
        <v/>
      </c>
      <c r="O298" s="1" t="str">
        <f t="shared" si="25"/>
        <v/>
      </c>
    </row>
    <row r="299" spans="1:15" x14ac:dyDescent="0.2">
      <c r="A299" s="7">
        <v>2026</v>
      </c>
      <c r="B299" s="7" t="s">
        <v>0</v>
      </c>
      <c r="C299" s="7" t="s">
        <v>610</v>
      </c>
      <c r="D299" s="7" t="s">
        <v>687</v>
      </c>
      <c r="E299" s="7" t="s">
        <v>687</v>
      </c>
      <c r="F299" s="7" t="s">
        <v>610</v>
      </c>
      <c r="G299" s="7" t="s">
        <v>611</v>
      </c>
      <c r="H299" s="8">
        <f>ROUND(SUMPRODUCT(SUMIF(Final!$G$4:$G$330,CashReserveLevy!D299:F299,Final!$C$4:$C$330)),0)</f>
        <v>168188039</v>
      </c>
      <c r="I299" s="8">
        <f t="shared" si="21"/>
        <v>33637608</v>
      </c>
      <c r="J299" s="8">
        <f>ROUND(SUMPRODUCT(SUMIF(Final!$G$4:$G$330,CashReserveLevy!D299:F299,Final!$E$4:$E$330)),0)</f>
        <v>20173837</v>
      </c>
      <c r="K299" s="8">
        <f t="shared" si="22"/>
        <v>13463771</v>
      </c>
      <c r="L299" s="8">
        <f>INDEX(ActualCRLevy_SAS!$A$2:$D$326,MATCH(CashReserveLevy!$C299,ActualCRLevy_SAS!$B$2:$B$326,0),4)</f>
        <v>13463771</v>
      </c>
      <c r="M299" s="31" t="str">
        <f t="shared" si="23"/>
        <v>Max</v>
      </c>
      <c r="N299" s="1" t="str">
        <f t="shared" si="24"/>
        <v/>
      </c>
      <c r="O299" s="1" t="str">
        <f t="shared" si="25"/>
        <v/>
      </c>
    </row>
    <row r="300" spans="1:15" x14ac:dyDescent="0.2">
      <c r="A300" s="7">
        <v>2026</v>
      </c>
      <c r="B300" s="7" t="s">
        <v>5</v>
      </c>
      <c r="C300" s="7" t="s">
        <v>612</v>
      </c>
      <c r="D300" s="7" t="s">
        <v>687</v>
      </c>
      <c r="E300" s="7" t="s">
        <v>687</v>
      </c>
      <c r="F300" s="7" t="s">
        <v>612</v>
      </c>
      <c r="G300" s="7" t="s">
        <v>613</v>
      </c>
      <c r="H300" s="8">
        <f>ROUND(SUMPRODUCT(SUMIF(Final!$G$4:$G$330,CashReserveLevy!D300:F300,Final!$C$4:$C$330)),0)</f>
        <v>30528149</v>
      </c>
      <c r="I300" s="8">
        <f t="shared" si="21"/>
        <v>6105630</v>
      </c>
      <c r="J300" s="8">
        <f>ROUND(SUMPRODUCT(SUMIF(Final!$G$4:$G$330,CashReserveLevy!D300:F300,Final!$E$4:$E$330)),0)</f>
        <v>4788436</v>
      </c>
      <c r="K300" s="8">
        <f t="shared" si="22"/>
        <v>1317194</v>
      </c>
      <c r="L300" s="8">
        <f>INDEX(ActualCRLevy_SAS!$A$2:$D$326,MATCH(CashReserveLevy!$C300,ActualCRLevy_SAS!$B$2:$B$326,0),4)</f>
        <v>1317194</v>
      </c>
      <c r="M300" s="31" t="str">
        <f t="shared" si="23"/>
        <v>Max</v>
      </c>
      <c r="N300" s="1" t="str">
        <f t="shared" si="24"/>
        <v/>
      </c>
      <c r="O300" s="1" t="str">
        <f t="shared" si="25"/>
        <v/>
      </c>
    </row>
    <row r="301" spans="1:15" x14ac:dyDescent="0.2">
      <c r="A301" s="7">
        <v>2026</v>
      </c>
      <c r="B301" s="7" t="s">
        <v>17</v>
      </c>
      <c r="C301" s="7" t="s">
        <v>614</v>
      </c>
      <c r="D301" s="7" t="s">
        <v>687</v>
      </c>
      <c r="E301" s="7" t="s">
        <v>687</v>
      </c>
      <c r="F301" s="7" t="s">
        <v>614</v>
      </c>
      <c r="G301" s="7" t="s">
        <v>615</v>
      </c>
      <c r="H301" s="8">
        <f>ROUND(SUMPRODUCT(SUMIF(Final!$G$4:$G$330,CashReserveLevy!D301:F301,Final!$C$4:$C$330)),0)</f>
        <v>9095062</v>
      </c>
      <c r="I301" s="8">
        <f t="shared" si="21"/>
        <v>1819012</v>
      </c>
      <c r="J301" s="8">
        <f>ROUND(SUMPRODUCT(SUMIF(Final!$G$4:$G$330,CashReserveLevy!D301:F301,Final!$E$4:$E$330)),0)</f>
        <v>5317983</v>
      </c>
      <c r="K301" s="8">
        <f t="shared" si="22"/>
        <v>0</v>
      </c>
      <c r="L301" s="8">
        <f>INDEX(ActualCRLevy_SAS!$A$2:$D$326,MATCH(CashReserveLevy!$C301,ActualCRLevy_SAS!$B$2:$B$326,0),4)</f>
        <v>0</v>
      </c>
      <c r="M301" s="31" t="str">
        <f t="shared" si="23"/>
        <v/>
      </c>
      <c r="N301" s="1" t="str">
        <f t="shared" si="24"/>
        <v/>
      </c>
      <c r="O301" s="1" t="str">
        <f t="shared" si="25"/>
        <v/>
      </c>
    </row>
    <row r="302" spans="1:15" x14ac:dyDescent="0.2">
      <c r="A302" s="7">
        <v>2026</v>
      </c>
      <c r="B302" s="7" t="s">
        <v>14</v>
      </c>
      <c r="C302" s="7" t="s">
        <v>616</v>
      </c>
      <c r="D302" s="7" t="s">
        <v>439</v>
      </c>
      <c r="E302" s="7" t="s">
        <v>687</v>
      </c>
      <c r="F302" s="7" t="s">
        <v>616</v>
      </c>
      <c r="G302" s="7" t="s">
        <v>617</v>
      </c>
      <c r="H302" s="8">
        <f>ROUND(SUMPRODUCT(SUMIF(Final!$G$4:$G$330,CashReserveLevy!D302:F302,Final!$C$4:$C$330)),0)</f>
        <v>25124880</v>
      </c>
      <c r="I302" s="8">
        <f t="shared" si="21"/>
        <v>5024976</v>
      </c>
      <c r="J302" s="8">
        <f>ROUND(SUMPRODUCT(SUMIF(Final!$G$4:$G$330,CashReserveLevy!D302:F302,Final!$E$4:$E$330)),0)</f>
        <v>4328915</v>
      </c>
      <c r="K302" s="8">
        <f t="shared" si="22"/>
        <v>696061</v>
      </c>
      <c r="L302" s="8">
        <f>INDEX(ActualCRLevy_SAS!$A$2:$D$326,MATCH(CashReserveLevy!$C302,ActualCRLevy_SAS!$B$2:$B$326,0),4)</f>
        <v>0</v>
      </c>
      <c r="M302" s="31" t="str">
        <f t="shared" si="23"/>
        <v/>
      </c>
      <c r="N302" s="1" t="str">
        <f t="shared" si="24"/>
        <v>No Levy but have Capacity</v>
      </c>
      <c r="O302" s="1" t="str">
        <f t="shared" si="25"/>
        <v/>
      </c>
    </row>
    <row r="303" spans="1:15" x14ac:dyDescent="0.2">
      <c r="A303" s="7">
        <v>2026</v>
      </c>
      <c r="B303" s="7" t="s">
        <v>14</v>
      </c>
      <c r="C303" s="7" t="s">
        <v>618</v>
      </c>
      <c r="D303" s="7" t="s">
        <v>687</v>
      </c>
      <c r="E303" s="7" t="s">
        <v>687</v>
      </c>
      <c r="F303" s="7" t="s">
        <v>618</v>
      </c>
      <c r="G303" s="7" t="s">
        <v>619</v>
      </c>
      <c r="H303" s="8">
        <f>ROUND(SUMPRODUCT(SUMIF(Final!$G$4:$G$330,CashReserveLevy!D303:F303,Final!$C$4:$C$330)),0)</f>
        <v>4869114</v>
      </c>
      <c r="I303" s="8">
        <f t="shared" si="21"/>
        <v>973823</v>
      </c>
      <c r="J303" s="8">
        <f>ROUND(SUMPRODUCT(SUMIF(Final!$G$4:$G$330,CashReserveLevy!D303:F303,Final!$E$4:$E$330)),0)</f>
        <v>1383540</v>
      </c>
      <c r="K303" s="8">
        <f t="shared" si="22"/>
        <v>0</v>
      </c>
      <c r="L303" s="8">
        <f>INDEX(ActualCRLevy_SAS!$A$2:$D$326,MATCH(CashReserveLevy!$C303,ActualCRLevy_SAS!$B$2:$B$326,0),4)</f>
        <v>0</v>
      </c>
      <c r="M303" s="31" t="str">
        <f t="shared" si="23"/>
        <v/>
      </c>
      <c r="N303" s="1" t="str">
        <f t="shared" si="24"/>
        <v/>
      </c>
      <c r="O303" s="1" t="str">
        <f t="shared" si="25"/>
        <v/>
      </c>
    </row>
    <row r="304" spans="1:15" x14ac:dyDescent="0.2">
      <c r="A304" s="7">
        <v>2026</v>
      </c>
      <c r="B304" s="7" t="s">
        <v>20</v>
      </c>
      <c r="C304" s="7" t="s">
        <v>620</v>
      </c>
      <c r="D304" s="7" t="s">
        <v>687</v>
      </c>
      <c r="E304" s="7" t="s">
        <v>687</v>
      </c>
      <c r="F304" s="7" t="s">
        <v>620</v>
      </c>
      <c r="G304" s="7" t="s">
        <v>621</v>
      </c>
      <c r="H304" s="8">
        <f>ROUND(SUMPRODUCT(SUMIF(Final!$G$4:$G$330,CashReserveLevy!D304:F304,Final!$C$4:$C$330)),0)</f>
        <v>10967692</v>
      </c>
      <c r="I304" s="8">
        <f t="shared" si="21"/>
        <v>2193538</v>
      </c>
      <c r="J304" s="8">
        <f>ROUND(SUMPRODUCT(SUMIF(Final!$G$4:$G$330,CashReserveLevy!D304:F304,Final!$E$4:$E$330)),0)</f>
        <v>1549676</v>
      </c>
      <c r="K304" s="8">
        <f t="shared" si="22"/>
        <v>643862</v>
      </c>
      <c r="L304" s="8">
        <f>INDEX(ActualCRLevy_SAS!$A$2:$D$326,MATCH(CashReserveLevy!$C304,ActualCRLevy_SAS!$B$2:$B$326,0),4)</f>
        <v>643862</v>
      </c>
      <c r="M304" s="31" t="str">
        <f t="shared" si="23"/>
        <v>Max</v>
      </c>
      <c r="N304" s="1" t="str">
        <f t="shared" si="24"/>
        <v/>
      </c>
      <c r="O304" s="1" t="str">
        <f t="shared" si="25"/>
        <v/>
      </c>
    </row>
    <row r="305" spans="1:15" x14ac:dyDescent="0.2">
      <c r="A305" s="7">
        <v>2026</v>
      </c>
      <c r="B305" s="7" t="s">
        <v>17</v>
      </c>
      <c r="C305" s="7" t="s">
        <v>622</v>
      </c>
      <c r="D305" s="7" t="s">
        <v>687</v>
      </c>
      <c r="E305" s="7" t="s">
        <v>687</v>
      </c>
      <c r="F305" s="7" t="s">
        <v>622</v>
      </c>
      <c r="G305" s="7" t="s">
        <v>623</v>
      </c>
      <c r="H305" s="8">
        <f>ROUND(SUMPRODUCT(SUMIF(Final!$G$4:$G$330,CashReserveLevy!D305:F305,Final!$C$4:$C$330)),0)</f>
        <v>10330805</v>
      </c>
      <c r="I305" s="8">
        <f t="shared" si="21"/>
        <v>2066161</v>
      </c>
      <c r="J305" s="8">
        <f>ROUND(SUMPRODUCT(SUMIF(Final!$G$4:$G$330,CashReserveLevy!D305:F305,Final!$E$4:$E$330)),0)</f>
        <v>1752487</v>
      </c>
      <c r="K305" s="8">
        <f t="shared" si="22"/>
        <v>313674</v>
      </c>
      <c r="L305" s="8">
        <f>INDEX(ActualCRLevy_SAS!$A$2:$D$326,MATCH(CashReserveLevy!$C305,ActualCRLevy_SAS!$B$2:$B$326,0),4)</f>
        <v>229737</v>
      </c>
      <c r="M305" s="31" t="str">
        <f t="shared" si="23"/>
        <v/>
      </c>
      <c r="N305" s="1" t="str">
        <f t="shared" si="24"/>
        <v/>
      </c>
      <c r="O305" s="1" t="str">
        <f t="shared" si="25"/>
        <v/>
      </c>
    </row>
    <row r="306" spans="1:15" x14ac:dyDescent="0.2">
      <c r="A306" s="7">
        <v>2026</v>
      </c>
      <c r="B306" s="7" t="s">
        <v>28</v>
      </c>
      <c r="C306" s="7" t="s">
        <v>624</v>
      </c>
      <c r="D306" s="7" t="s">
        <v>687</v>
      </c>
      <c r="E306" s="7" t="s">
        <v>687</v>
      </c>
      <c r="F306" s="7" t="s">
        <v>624</v>
      </c>
      <c r="G306" s="7" t="s">
        <v>625</v>
      </c>
      <c r="H306" s="8">
        <f>ROUND(SUMPRODUCT(SUMIF(Final!$G$4:$G$330,CashReserveLevy!D306:F306,Final!$C$4:$C$330)),0)</f>
        <v>4778742</v>
      </c>
      <c r="I306" s="8">
        <f t="shared" si="21"/>
        <v>955748</v>
      </c>
      <c r="J306" s="8">
        <f>ROUND(SUMPRODUCT(SUMIF(Final!$G$4:$G$330,CashReserveLevy!D306:F306,Final!$E$4:$E$330)),0)</f>
        <v>1006371</v>
      </c>
      <c r="K306" s="8">
        <f t="shared" si="22"/>
        <v>0</v>
      </c>
      <c r="L306" s="8">
        <f>INDEX(ActualCRLevy_SAS!$A$2:$D$326,MATCH(CashReserveLevy!$C306,ActualCRLevy_SAS!$B$2:$B$326,0),4)</f>
        <v>0</v>
      </c>
      <c r="M306" s="31" t="str">
        <f t="shared" si="23"/>
        <v/>
      </c>
      <c r="N306" s="1" t="str">
        <f t="shared" si="24"/>
        <v/>
      </c>
      <c r="O306" s="1" t="str">
        <f t="shared" si="25"/>
        <v/>
      </c>
    </row>
    <row r="307" spans="1:15" x14ac:dyDescent="0.2">
      <c r="A307" s="7">
        <v>2026</v>
      </c>
      <c r="B307" s="7" t="s">
        <v>0</v>
      </c>
      <c r="C307" s="7" t="s">
        <v>626</v>
      </c>
      <c r="D307" s="7" t="s">
        <v>687</v>
      </c>
      <c r="E307" s="7" t="s">
        <v>687</v>
      </c>
      <c r="F307" s="7" t="s">
        <v>626</v>
      </c>
      <c r="G307" s="7" t="s">
        <v>627</v>
      </c>
      <c r="H307" s="8">
        <f>ROUND(SUMPRODUCT(SUMIF(Final!$G$4:$G$330,CashReserveLevy!D307:F307,Final!$C$4:$C$330)),0)</f>
        <v>13262947</v>
      </c>
      <c r="I307" s="8">
        <f t="shared" si="21"/>
        <v>2652589</v>
      </c>
      <c r="J307" s="8">
        <f>ROUND(SUMPRODUCT(SUMIF(Final!$G$4:$G$330,CashReserveLevy!D307:F307,Final!$E$4:$E$330)),0)</f>
        <v>3070420</v>
      </c>
      <c r="K307" s="8">
        <f t="shared" si="22"/>
        <v>0</v>
      </c>
      <c r="L307" s="8">
        <f>INDEX(ActualCRLevy_SAS!$A$2:$D$326,MATCH(CashReserveLevy!$C307,ActualCRLevy_SAS!$B$2:$B$326,0),4)</f>
        <v>0</v>
      </c>
      <c r="M307" s="31" t="str">
        <f t="shared" si="23"/>
        <v/>
      </c>
      <c r="N307" s="1" t="str">
        <f t="shared" si="24"/>
        <v/>
      </c>
      <c r="O307" s="1" t="str">
        <f t="shared" si="25"/>
        <v/>
      </c>
    </row>
    <row r="308" spans="1:15" x14ac:dyDescent="0.2">
      <c r="A308" s="7">
        <v>2026</v>
      </c>
      <c r="B308" s="7" t="s">
        <v>28</v>
      </c>
      <c r="C308" s="7" t="s">
        <v>628</v>
      </c>
      <c r="D308" s="7" t="s">
        <v>687</v>
      </c>
      <c r="E308" s="7" t="s">
        <v>687</v>
      </c>
      <c r="F308" s="7" t="s">
        <v>628</v>
      </c>
      <c r="G308" s="7" t="s">
        <v>629</v>
      </c>
      <c r="H308" s="8">
        <f>ROUND(SUMPRODUCT(SUMIF(Final!$G$4:$G$330,CashReserveLevy!D308:F308,Final!$C$4:$C$330)),0)</f>
        <v>18208297</v>
      </c>
      <c r="I308" s="8">
        <f t="shared" si="21"/>
        <v>3641659</v>
      </c>
      <c r="J308" s="8">
        <f>ROUND(SUMPRODUCT(SUMIF(Final!$G$4:$G$330,CashReserveLevy!D308:F308,Final!$E$4:$E$330)),0)</f>
        <v>1295487</v>
      </c>
      <c r="K308" s="8">
        <f t="shared" si="22"/>
        <v>2346172</v>
      </c>
      <c r="L308" s="8">
        <f>INDEX(ActualCRLevy_SAS!$A$2:$D$326,MATCH(CashReserveLevy!$C308,ActualCRLevy_SAS!$B$2:$B$326,0),4)</f>
        <v>1291913</v>
      </c>
      <c r="M308" s="31" t="str">
        <f t="shared" si="23"/>
        <v/>
      </c>
      <c r="N308" s="1" t="str">
        <f t="shared" si="24"/>
        <v/>
      </c>
      <c r="O308" s="1" t="str">
        <f t="shared" si="25"/>
        <v/>
      </c>
    </row>
    <row r="309" spans="1:15" x14ac:dyDescent="0.2">
      <c r="A309" s="7">
        <v>2026</v>
      </c>
      <c r="B309" s="7" t="s">
        <v>0</v>
      </c>
      <c r="C309" s="7" t="s">
        <v>630</v>
      </c>
      <c r="D309" s="7" t="s">
        <v>687</v>
      </c>
      <c r="E309" s="7" t="s">
        <v>687</v>
      </c>
      <c r="F309" s="7" t="s">
        <v>630</v>
      </c>
      <c r="G309" s="7" t="s">
        <v>631</v>
      </c>
      <c r="H309" s="8">
        <f>ROUND(SUMPRODUCT(SUMIF(Final!$G$4:$G$330,CashReserveLevy!D309:F309,Final!$C$4:$C$330)),0)</f>
        <v>133756493</v>
      </c>
      <c r="I309" s="8">
        <f t="shared" si="21"/>
        <v>26751299</v>
      </c>
      <c r="J309" s="8">
        <f>ROUND(SUMPRODUCT(SUMIF(Final!$G$4:$G$330,CashReserveLevy!D309:F309,Final!$E$4:$E$330)),0)</f>
        <v>19754876</v>
      </c>
      <c r="K309" s="8">
        <f t="shared" si="22"/>
        <v>6996423</v>
      </c>
      <c r="L309" s="8">
        <f>INDEX(ActualCRLevy_SAS!$A$2:$D$326,MATCH(CashReserveLevy!$C309,ActualCRLevy_SAS!$B$2:$B$326,0),4)</f>
        <v>6996423</v>
      </c>
      <c r="M309" s="31" t="str">
        <f t="shared" si="23"/>
        <v>Max</v>
      </c>
      <c r="N309" s="1" t="str">
        <f t="shared" si="24"/>
        <v/>
      </c>
      <c r="O309" s="1" t="str">
        <f t="shared" si="25"/>
        <v/>
      </c>
    </row>
    <row r="310" spans="1:15" x14ac:dyDescent="0.2">
      <c r="A310" s="7">
        <v>2026</v>
      </c>
      <c r="B310" s="7" t="s">
        <v>5</v>
      </c>
      <c r="C310" s="7" t="s">
        <v>632</v>
      </c>
      <c r="D310" s="7" t="s">
        <v>687</v>
      </c>
      <c r="E310" s="7" t="s">
        <v>687</v>
      </c>
      <c r="F310" s="7" t="s">
        <v>632</v>
      </c>
      <c r="G310" s="7" t="s">
        <v>633</v>
      </c>
      <c r="H310" s="8">
        <f>ROUND(SUMPRODUCT(SUMIF(Final!$G$4:$G$330,CashReserveLevy!D310:F310,Final!$C$4:$C$330)),0)</f>
        <v>11045536</v>
      </c>
      <c r="I310" s="8">
        <f t="shared" si="21"/>
        <v>2209107</v>
      </c>
      <c r="J310" s="8">
        <f>ROUND(SUMPRODUCT(SUMIF(Final!$G$4:$G$330,CashReserveLevy!D310:F310,Final!$E$4:$E$330)),0)</f>
        <v>1937205</v>
      </c>
      <c r="K310" s="8">
        <f t="shared" si="22"/>
        <v>271902</v>
      </c>
      <c r="L310" s="8">
        <f>INDEX(ActualCRLevy_SAS!$A$2:$D$326,MATCH(CashReserveLevy!$C310,ActualCRLevy_SAS!$B$2:$B$326,0),4)</f>
        <v>250000</v>
      </c>
      <c r="M310" s="31" t="str">
        <f t="shared" si="23"/>
        <v/>
      </c>
      <c r="N310" s="1" t="str">
        <f t="shared" si="24"/>
        <v/>
      </c>
      <c r="O310" s="1" t="str">
        <f t="shared" si="25"/>
        <v/>
      </c>
    </row>
    <row r="311" spans="1:15" x14ac:dyDescent="0.2">
      <c r="A311" s="7">
        <v>2026</v>
      </c>
      <c r="B311" s="7" t="s">
        <v>5</v>
      </c>
      <c r="C311" s="7" t="s">
        <v>634</v>
      </c>
      <c r="D311" s="7" t="s">
        <v>687</v>
      </c>
      <c r="E311" s="7" t="s">
        <v>687</v>
      </c>
      <c r="F311" s="7" t="s">
        <v>634</v>
      </c>
      <c r="G311" s="7" t="s">
        <v>635</v>
      </c>
      <c r="H311" s="8">
        <f>ROUND(SUMPRODUCT(SUMIF(Final!$G$4:$G$330,CashReserveLevy!D311:F311,Final!$C$4:$C$330)),0)</f>
        <v>7640263</v>
      </c>
      <c r="I311" s="8">
        <f t="shared" si="21"/>
        <v>1528053</v>
      </c>
      <c r="J311" s="8">
        <f>ROUND(SUMPRODUCT(SUMIF(Final!$G$4:$G$330,CashReserveLevy!D311:F311,Final!$E$4:$E$330)),0)</f>
        <v>1906776</v>
      </c>
      <c r="K311" s="8">
        <f t="shared" si="22"/>
        <v>0</v>
      </c>
      <c r="L311" s="8">
        <f>INDEX(ActualCRLevy_SAS!$A$2:$D$326,MATCH(CashReserveLevy!$C311,ActualCRLevy_SAS!$B$2:$B$326,0),4)</f>
        <v>0</v>
      </c>
      <c r="M311" s="31" t="str">
        <f t="shared" si="23"/>
        <v/>
      </c>
      <c r="N311" s="1" t="str">
        <f t="shared" si="24"/>
        <v/>
      </c>
      <c r="O311" s="1" t="str">
        <f t="shared" si="25"/>
        <v/>
      </c>
    </row>
    <row r="312" spans="1:15" x14ac:dyDescent="0.2">
      <c r="A312" s="7">
        <v>2026</v>
      </c>
      <c r="B312" s="7" t="s">
        <v>8</v>
      </c>
      <c r="C312" s="7" t="s">
        <v>636</v>
      </c>
      <c r="D312" s="7" t="s">
        <v>687</v>
      </c>
      <c r="E312" s="7" t="s">
        <v>687</v>
      </c>
      <c r="F312" s="7" t="s">
        <v>636</v>
      </c>
      <c r="G312" s="7" t="s">
        <v>637</v>
      </c>
      <c r="H312" s="8">
        <f>ROUND(SUMPRODUCT(SUMIF(Final!$G$4:$G$330,CashReserveLevy!D312:F312,Final!$C$4:$C$330)),0)</f>
        <v>5562387</v>
      </c>
      <c r="I312" s="8">
        <f t="shared" si="21"/>
        <v>1112477</v>
      </c>
      <c r="J312" s="8">
        <f>ROUND(SUMPRODUCT(SUMIF(Final!$G$4:$G$330,CashReserveLevy!D312:F312,Final!$E$4:$E$330)),0)</f>
        <v>684648</v>
      </c>
      <c r="K312" s="8">
        <f t="shared" si="22"/>
        <v>427829</v>
      </c>
      <c r="L312" s="8">
        <f>INDEX(ActualCRLevy_SAS!$A$2:$D$326,MATCH(CashReserveLevy!$C312,ActualCRLevy_SAS!$B$2:$B$326,0),4)</f>
        <v>300000</v>
      </c>
      <c r="M312" s="31" t="str">
        <f t="shared" si="23"/>
        <v/>
      </c>
      <c r="N312" s="1" t="str">
        <f t="shared" si="24"/>
        <v/>
      </c>
      <c r="O312" s="1" t="str">
        <f t="shared" si="25"/>
        <v/>
      </c>
    </row>
    <row r="313" spans="1:15" x14ac:dyDescent="0.2">
      <c r="A313" s="7">
        <v>2026</v>
      </c>
      <c r="B313" s="7" t="s">
        <v>37</v>
      </c>
      <c r="C313" s="7" t="s">
        <v>638</v>
      </c>
      <c r="D313" s="7" t="s">
        <v>687</v>
      </c>
      <c r="E313" s="7" t="s">
        <v>687</v>
      </c>
      <c r="F313" s="7" t="s">
        <v>638</v>
      </c>
      <c r="G313" s="7" t="s">
        <v>639</v>
      </c>
      <c r="H313" s="8">
        <f>ROUND(SUMPRODUCT(SUMIF(Final!$G$4:$G$330,CashReserveLevy!D313:F313,Final!$C$4:$C$330)),0)</f>
        <v>18118669</v>
      </c>
      <c r="I313" s="8">
        <f t="shared" si="21"/>
        <v>3623734</v>
      </c>
      <c r="J313" s="8">
        <f>ROUND(SUMPRODUCT(SUMIF(Final!$G$4:$G$330,CashReserveLevy!D313:F313,Final!$E$4:$E$330)),0)</f>
        <v>5235848</v>
      </c>
      <c r="K313" s="8">
        <f t="shared" si="22"/>
        <v>0</v>
      </c>
      <c r="L313" s="8">
        <f>INDEX(ActualCRLevy_SAS!$A$2:$D$326,MATCH(CashReserveLevy!$C313,ActualCRLevy_SAS!$B$2:$B$326,0),4)</f>
        <v>0</v>
      </c>
      <c r="M313" s="31" t="str">
        <f t="shared" si="23"/>
        <v/>
      </c>
      <c r="N313" s="1" t="str">
        <f t="shared" si="24"/>
        <v/>
      </c>
      <c r="O313" s="1" t="str">
        <f t="shared" si="25"/>
        <v/>
      </c>
    </row>
    <row r="314" spans="1:15" x14ac:dyDescent="0.2">
      <c r="A314" s="7">
        <v>2026</v>
      </c>
      <c r="B314" s="7" t="s">
        <v>11</v>
      </c>
      <c r="C314" s="7" t="s">
        <v>640</v>
      </c>
      <c r="D314" s="7" t="s">
        <v>687</v>
      </c>
      <c r="E314" s="7" t="s">
        <v>687</v>
      </c>
      <c r="F314" s="7" t="s">
        <v>640</v>
      </c>
      <c r="G314" s="7" t="s">
        <v>641</v>
      </c>
      <c r="H314" s="8">
        <f>ROUND(SUMPRODUCT(SUMIF(Final!$G$4:$G$330,CashReserveLevy!D314:F314,Final!$C$4:$C$330)),0)</f>
        <v>11517960</v>
      </c>
      <c r="I314" s="8">
        <f t="shared" si="21"/>
        <v>2303592</v>
      </c>
      <c r="J314" s="8">
        <f>ROUND(SUMPRODUCT(SUMIF(Final!$G$4:$G$330,CashReserveLevy!D314:F314,Final!$E$4:$E$330)),0)</f>
        <v>3577753</v>
      </c>
      <c r="K314" s="8">
        <f t="shared" si="22"/>
        <v>0</v>
      </c>
      <c r="L314" s="8">
        <f>INDEX(ActualCRLevy_SAS!$A$2:$D$326,MATCH(CashReserveLevy!$C314,ActualCRLevy_SAS!$B$2:$B$326,0),4)</f>
        <v>0</v>
      </c>
      <c r="M314" s="31" t="str">
        <f t="shared" si="23"/>
        <v/>
      </c>
      <c r="N314" s="1" t="str">
        <f t="shared" si="24"/>
        <v/>
      </c>
      <c r="O314" s="1" t="str">
        <f t="shared" si="25"/>
        <v/>
      </c>
    </row>
    <row r="315" spans="1:15" x14ac:dyDescent="0.2">
      <c r="A315" s="7">
        <v>2026</v>
      </c>
      <c r="B315" s="7" t="s">
        <v>5</v>
      </c>
      <c r="C315" s="7" t="s">
        <v>642</v>
      </c>
      <c r="D315" s="7" t="s">
        <v>687</v>
      </c>
      <c r="E315" s="7" t="s">
        <v>687</v>
      </c>
      <c r="F315" s="7" t="s">
        <v>642</v>
      </c>
      <c r="G315" s="7" t="s">
        <v>643</v>
      </c>
      <c r="H315" s="8">
        <f>ROUND(SUMPRODUCT(SUMIF(Final!$G$4:$G$330,CashReserveLevy!D315:F315,Final!$C$4:$C$330)),0)</f>
        <v>10912169</v>
      </c>
      <c r="I315" s="8">
        <f t="shared" si="21"/>
        <v>2182434</v>
      </c>
      <c r="J315" s="8">
        <f>ROUND(SUMPRODUCT(SUMIF(Final!$G$4:$G$330,CashReserveLevy!D315:F315,Final!$E$4:$E$330)),0)</f>
        <v>3677364</v>
      </c>
      <c r="K315" s="8">
        <f t="shared" si="22"/>
        <v>0</v>
      </c>
      <c r="L315" s="8">
        <f>INDEX(ActualCRLevy_SAS!$A$2:$D$326,MATCH(CashReserveLevy!$C315,ActualCRLevy_SAS!$B$2:$B$326,0),4)</f>
        <v>0</v>
      </c>
      <c r="M315" s="31" t="str">
        <f t="shared" si="23"/>
        <v/>
      </c>
      <c r="N315" s="1" t="str">
        <f t="shared" si="24"/>
        <v/>
      </c>
      <c r="O315" s="1" t="str">
        <f t="shared" si="25"/>
        <v/>
      </c>
    </row>
    <row r="316" spans="1:15" x14ac:dyDescent="0.2">
      <c r="A316" s="7">
        <v>2026</v>
      </c>
      <c r="B316" s="7" t="s">
        <v>11</v>
      </c>
      <c r="C316" s="7" t="s">
        <v>644</v>
      </c>
      <c r="D316" s="7" t="s">
        <v>687</v>
      </c>
      <c r="E316" s="7" t="s">
        <v>687</v>
      </c>
      <c r="F316" s="7" t="s">
        <v>644</v>
      </c>
      <c r="G316" s="7" t="s">
        <v>645</v>
      </c>
      <c r="H316" s="8">
        <f>ROUND(SUMPRODUCT(SUMIF(Final!$G$4:$G$330,CashReserveLevy!D316:F316,Final!$C$4:$C$330)),0)</f>
        <v>8238054</v>
      </c>
      <c r="I316" s="8">
        <f t="shared" si="21"/>
        <v>1647611</v>
      </c>
      <c r="J316" s="8">
        <f>ROUND(SUMPRODUCT(SUMIF(Final!$G$4:$G$330,CashReserveLevy!D316:F316,Final!$E$4:$E$330)),0)</f>
        <v>4811963</v>
      </c>
      <c r="K316" s="8">
        <f t="shared" si="22"/>
        <v>0</v>
      </c>
      <c r="L316" s="8">
        <f>INDEX(ActualCRLevy_SAS!$A$2:$D$326,MATCH(CashReserveLevy!$C316,ActualCRLevy_SAS!$B$2:$B$326,0),4)</f>
        <v>0</v>
      </c>
      <c r="M316" s="31" t="str">
        <f t="shared" si="23"/>
        <v/>
      </c>
      <c r="N316" s="1" t="str">
        <f t="shared" si="24"/>
        <v/>
      </c>
      <c r="O316" s="1" t="str">
        <f t="shared" si="25"/>
        <v/>
      </c>
    </row>
    <row r="317" spans="1:15" x14ac:dyDescent="0.2">
      <c r="A317" s="7">
        <v>2026</v>
      </c>
      <c r="B317" s="7" t="s">
        <v>11</v>
      </c>
      <c r="C317" s="7" t="s">
        <v>646</v>
      </c>
      <c r="D317" s="7" t="s">
        <v>687</v>
      </c>
      <c r="E317" s="7" t="s">
        <v>687</v>
      </c>
      <c r="F317" s="7" t="s">
        <v>646</v>
      </c>
      <c r="G317" s="7" t="s">
        <v>647</v>
      </c>
      <c r="H317" s="8">
        <f>ROUND(SUMPRODUCT(SUMIF(Final!$G$4:$G$330,CashReserveLevy!D317:F317,Final!$C$4:$C$330)),0)</f>
        <v>11300714</v>
      </c>
      <c r="I317" s="8">
        <f t="shared" si="21"/>
        <v>2260143</v>
      </c>
      <c r="J317" s="8">
        <f>ROUND(SUMPRODUCT(SUMIF(Final!$G$4:$G$330,CashReserveLevy!D317:F317,Final!$E$4:$E$330)),0)</f>
        <v>3202203</v>
      </c>
      <c r="K317" s="8">
        <f t="shared" si="22"/>
        <v>0</v>
      </c>
      <c r="L317" s="8">
        <f>INDEX(ActualCRLevy_SAS!$A$2:$D$326,MATCH(CashReserveLevy!$C317,ActualCRLevy_SAS!$B$2:$B$326,0),4)</f>
        <v>0</v>
      </c>
      <c r="M317" s="31" t="str">
        <f t="shared" si="23"/>
        <v/>
      </c>
      <c r="N317" s="1" t="str">
        <f t="shared" si="24"/>
        <v/>
      </c>
      <c r="O317" s="1" t="str">
        <f t="shared" si="25"/>
        <v/>
      </c>
    </row>
    <row r="318" spans="1:15" x14ac:dyDescent="0.2">
      <c r="A318" s="7">
        <v>2026</v>
      </c>
      <c r="B318" s="7" t="s">
        <v>28</v>
      </c>
      <c r="C318" s="7" t="s">
        <v>648</v>
      </c>
      <c r="D318" s="7" t="s">
        <v>687</v>
      </c>
      <c r="E318" s="7" t="s">
        <v>687</v>
      </c>
      <c r="F318" s="7" t="s">
        <v>648</v>
      </c>
      <c r="G318" s="7" t="s">
        <v>649</v>
      </c>
      <c r="H318" s="8">
        <f>ROUND(SUMPRODUCT(SUMIF(Final!$G$4:$G$330,CashReserveLevy!D318:F318,Final!$C$4:$C$330)),0)</f>
        <v>45096970</v>
      </c>
      <c r="I318" s="8">
        <f t="shared" si="21"/>
        <v>9019394</v>
      </c>
      <c r="J318" s="8">
        <f>ROUND(SUMPRODUCT(SUMIF(Final!$G$4:$G$330,CashReserveLevy!D318:F318,Final!$E$4:$E$330)),0)</f>
        <v>8969436</v>
      </c>
      <c r="K318" s="8">
        <f t="shared" si="22"/>
        <v>49958</v>
      </c>
      <c r="L318" s="8">
        <f>INDEX(ActualCRLevy_SAS!$A$2:$D$326,MATCH(CashReserveLevy!$C318,ActualCRLevy_SAS!$B$2:$B$326,0),4)</f>
        <v>49958</v>
      </c>
      <c r="M318" s="31" t="str">
        <f t="shared" si="23"/>
        <v>Max</v>
      </c>
      <c r="N318" s="1" t="str">
        <f t="shared" si="24"/>
        <v/>
      </c>
      <c r="O318" s="1" t="str">
        <f t="shared" si="25"/>
        <v/>
      </c>
    </row>
    <row r="319" spans="1:15" x14ac:dyDescent="0.2">
      <c r="A319" s="7">
        <v>2026</v>
      </c>
      <c r="B319" s="7" t="s">
        <v>11</v>
      </c>
      <c r="C319" s="7" t="s">
        <v>650</v>
      </c>
      <c r="D319" s="7" t="s">
        <v>687</v>
      </c>
      <c r="E319" s="7" t="s">
        <v>687</v>
      </c>
      <c r="F319" s="7" t="s">
        <v>650</v>
      </c>
      <c r="G319" s="7" t="s">
        <v>651</v>
      </c>
      <c r="H319" s="8">
        <f>ROUND(SUMPRODUCT(SUMIF(Final!$G$4:$G$330,CashReserveLevy!D319:F319,Final!$C$4:$C$330)),0)</f>
        <v>8554499</v>
      </c>
      <c r="I319" s="8">
        <f t="shared" si="21"/>
        <v>1710900</v>
      </c>
      <c r="J319" s="8">
        <f>ROUND(SUMPRODUCT(SUMIF(Final!$G$4:$G$330,CashReserveLevy!D319:F319,Final!$E$4:$E$330)),0)</f>
        <v>2625927</v>
      </c>
      <c r="K319" s="8">
        <f t="shared" si="22"/>
        <v>0</v>
      </c>
      <c r="L319" s="8">
        <f>INDEX(ActualCRLevy_SAS!$A$2:$D$326,MATCH(CashReserveLevy!$C319,ActualCRLevy_SAS!$B$2:$B$326,0),4)</f>
        <v>0</v>
      </c>
      <c r="M319" s="31" t="str">
        <f t="shared" si="23"/>
        <v/>
      </c>
      <c r="N319" s="1" t="str">
        <f t="shared" si="24"/>
        <v/>
      </c>
      <c r="O319" s="1" t="str">
        <f t="shared" si="25"/>
        <v/>
      </c>
    </row>
    <row r="320" spans="1:15" x14ac:dyDescent="0.2">
      <c r="A320" s="7">
        <v>2026</v>
      </c>
      <c r="B320" s="7" t="s">
        <v>11</v>
      </c>
      <c r="C320" s="7" t="s">
        <v>652</v>
      </c>
      <c r="D320" s="7" t="s">
        <v>687</v>
      </c>
      <c r="E320" s="7" t="s">
        <v>687</v>
      </c>
      <c r="F320" s="7" t="s">
        <v>652</v>
      </c>
      <c r="G320" s="7" t="s">
        <v>653</v>
      </c>
      <c r="H320" s="8">
        <f>ROUND(SUMPRODUCT(SUMIF(Final!$G$4:$G$330,CashReserveLevy!D320:F320,Final!$C$4:$C$330)),0)</f>
        <v>3504870</v>
      </c>
      <c r="I320" s="8">
        <f t="shared" si="21"/>
        <v>700974</v>
      </c>
      <c r="J320" s="8">
        <f>ROUND(SUMPRODUCT(SUMIF(Final!$G$4:$G$330,CashReserveLevy!D320:F320,Final!$E$4:$E$330)),0)</f>
        <v>-218466</v>
      </c>
      <c r="K320" s="8">
        <f t="shared" si="22"/>
        <v>919440</v>
      </c>
      <c r="L320" s="8">
        <f>INDEX(ActualCRLevy_SAS!$A$2:$D$326,MATCH(CashReserveLevy!$C320,ActualCRLevy_SAS!$B$2:$B$326,0),4)</f>
        <v>534000</v>
      </c>
      <c r="M320" s="31" t="str">
        <f t="shared" si="23"/>
        <v/>
      </c>
      <c r="N320" s="1" t="str">
        <f t="shared" si="24"/>
        <v/>
      </c>
      <c r="O320" s="1" t="str">
        <f t="shared" si="25"/>
        <v/>
      </c>
    </row>
    <row r="321" spans="1:15" x14ac:dyDescent="0.2">
      <c r="A321" s="7">
        <v>2026</v>
      </c>
      <c r="B321" s="7" t="s">
        <v>20</v>
      </c>
      <c r="C321" s="7" t="s">
        <v>654</v>
      </c>
      <c r="D321" s="7" t="s">
        <v>687</v>
      </c>
      <c r="E321" s="7" t="s">
        <v>687</v>
      </c>
      <c r="F321" s="7" t="s">
        <v>654</v>
      </c>
      <c r="G321" s="7" t="s">
        <v>655</v>
      </c>
      <c r="H321" s="8">
        <f>ROUND(SUMPRODUCT(SUMIF(Final!$G$4:$G$330,CashReserveLevy!D321:F321,Final!$C$4:$C$330)),0)</f>
        <v>16165395</v>
      </c>
      <c r="I321" s="8">
        <f t="shared" si="21"/>
        <v>3233079</v>
      </c>
      <c r="J321" s="8">
        <f>ROUND(SUMPRODUCT(SUMIF(Final!$G$4:$G$330,CashReserveLevy!D321:F321,Final!$E$4:$E$330)),0)</f>
        <v>1464893</v>
      </c>
      <c r="K321" s="8">
        <f t="shared" si="22"/>
        <v>1768186</v>
      </c>
      <c r="L321" s="8">
        <f>INDEX(ActualCRLevy_SAS!$A$2:$D$326,MATCH(CashReserveLevy!$C321,ActualCRLevy_SAS!$B$2:$B$326,0),4)</f>
        <v>878735</v>
      </c>
      <c r="M321" s="31" t="str">
        <f t="shared" si="23"/>
        <v/>
      </c>
      <c r="N321" s="1" t="str">
        <f t="shared" si="24"/>
        <v/>
      </c>
      <c r="O321" s="1" t="str">
        <f t="shared" si="25"/>
        <v/>
      </c>
    </row>
    <row r="322" spans="1:15" x14ac:dyDescent="0.2">
      <c r="A322" s="7">
        <v>2026</v>
      </c>
      <c r="B322" s="7" t="s">
        <v>37</v>
      </c>
      <c r="C322" s="7" t="s">
        <v>656</v>
      </c>
      <c r="D322" s="7" t="s">
        <v>687</v>
      </c>
      <c r="E322" s="7" t="s">
        <v>687</v>
      </c>
      <c r="F322" s="7" t="s">
        <v>656</v>
      </c>
      <c r="G322" s="7" t="s">
        <v>657</v>
      </c>
      <c r="H322" s="8">
        <f>ROUND(SUMPRODUCT(SUMIF(Final!$G$4:$G$330,CashReserveLevy!D322:F322,Final!$C$4:$C$330)),0)</f>
        <v>12457302</v>
      </c>
      <c r="I322" s="8">
        <f t="shared" si="21"/>
        <v>2491460</v>
      </c>
      <c r="J322" s="8">
        <f>ROUND(SUMPRODUCT(SUMIF(Final!$G$4:$G$330,CashReserveLevy!D322:F322,Final!$E$4:$E$330)),0)</f>
        <v>3023764</v>
      </c>
      <c r="K322" s="8">
        <f t="shared" si="22"/>
        <v>0</v>
      </c>
      <c r="L322" s="8">
        <f>INDEX(ActualCRLevy_SAS!$A$2:$D$326,MATCH(CashReserveLevy!$C322,ActualCRLevy_SAS!$B$2:$B$326,0),4)</f>
        <v>0</v>
      </c>
      <c r="M322" s="31" t="str">
        <f t="shared" si="23"/>
        <v/>
      </c>
      <c r="N322" s="1" t="str">
        <f t="shared" si="24"/>
        <v/>
      </c>
      <c r="O322" s="1" t="str">
        <f t="shared" si="25"/>
        <v/>
      </c>
    </row>
    <row r="323" spans="1:15" x14ac:dyDescent="0.2">
      <c r="A323" s="7">
        <v>2026</v>
      </c>
      <c r="B323" s="7" t="s">
        <v>17</v>
      </c>
      <c r="C323" s="7" t="s">
        <v>658</v>
      </c>
      <c r="D323" s="7" t="s">
        <v>687</v>
      </c>
      <c r="E323" s="7" t="s">
        <v>687</v>
      </c>
      <c r="F323" s="7" t="s">
        <v>658</v>
      </c>
      <c r="G323" s="7" t="s">
        <v>659</v>
      </c>
      <c r="H323" s="8">
        <f>ROUND(SUMPRODUCT(SUMIF(Final!$G$4:$G$330,CashReserveLevy!D323:F323,Final!$C$4:$C$330)),0)</f>
        <v>5078836</v>
      </c>
      <c r="I323" s="8">
        <f t="shared" si="21"/>
        <v>1015767</v>
      </c>
      <c r="J323" s="8">
        <f>ROUND(SUMPRODUCT(SUMIF(Final!$G$4:$G$330,CashReserveLevy!D323:F323,Final!$E$4:$E$330)),0)</f>
        <v>568105</v>
      </c>
      <c r="K323" s="8">
        <f t="shared" si="22"/>
        <v>447662</v>
      </c>
      <c r="L323" s="8">
        <f>INDEX(ActualCRLevy_SAS!$A$2:$D$326,MATCH(CashReserveLevy!$C323,ActualCRLevy_SAS!$B$2:$B$326,0),4)</f>
        <v>171046</v>
      </c>
      <c r="M323" s="31" t="str">
        <f t="shared" si="23"/>
        <v/>
      </c>
      <c r="N323" s="1" t="str">
        <f t="shared" si="24"/>
        <v/>
      </c>
      <c r="O323" s="1" t="str">
        <f t="shared" si="25"/>
        <v/>
      </c>
    </row>
    <row r="324" spans="1:15" x14ac:dyDescent="0.2">
      <c r="A324" s="7">
        <v>2026</v>
      </c>
      <c r="B324" s="7" t="s">
        <v>0</v>
      </c>
      <c r="C324" s="7" t="s">
        <v>660</v>
      </c>
      <c r="D324" s="7" t="s">
        <v>687</v>
      </c>
      <c r="E324" s="7" t="s">
        <v>687</v>
      </c>
      <c r="F324" s="7" t="s">
        <v>660</v>
      </c>
      <c r="G324" s="7" t="s">
        <v>661</v>
      </c>
      <c r="H324" s="8">
        <f>ROUND(SUMPRODUCT(SUMIF(Final!$G$4:$G$330,CashReserveLevy!D324:F324,Final!$C$4:$C$330)),0)</f>
        <v>21850666</v>
      </c>
      <c r="I324" s="8">
        <f t="shared" ref="I324:I327" si="26">ROUND(H324*0.2,0)</f>
        <v>4370133</v>
      </c>
      <c r="J324" s="8">
        <f>ROUND(SUMPRODUCT(SUMIF(Final!$G$4:$G$330,CashReserveLevy!D324:F324,Final!$E$4:$E$330)),0)</f>
        <v>5994686</v>
      </c>
      <c r="K324" s="8">
        <f t="shared" ref="K324:K327" si="27">IF(I324&gt;J324,I324-J324,0)</f>
        <v>0</v>
      </c>
      <c r="L324" s="8">
        <f>INDEX(ActualCRLevy_SAS!$A$2:$D$326,MATCH(CashReserveLevy!$C324,ActualCRLevy_SAS!$B$2:$B$326,0),4)</f>
        <v>0</v>
      </c>
      <c r="M324" s="31" t="str">
        <f t="shared" ref="M324:M327" si="28">IF(AND(L324=K324,K324&gt;0),"Max","")</f>
        <v/>
      </c>
      <c r="N324" s="1" t="str">
        <f t="shared" ref="N324:N327" si="29">IF(AND(L324&lt;K324,L324=0),"No Levy but have Capacity","")</f>
        <v/>
      </c>
      <c r="O324" s="1" t="str">
        <f t="shared" si="25"/>
        <v/>
      </c>
    </row>
    <row r="325" spans="1:15" x14ac:dyDescent="0.2">
      <c r="A325" s="7">
        <v>2026</v>
      </c>
      <c r="B325" s="7" t="s">
        <v>8</v>
      </c>
      <c r="C325" s="7" t="s">
        <v>662</v>
      </c>
      <c r="D325" s="7" t="s">
        <v>687</v>
      </c>
      <c r="E325" s="7" t="s">
        <v>687</v>
      </c>
      <c r="F325" s="7" t="s">
        <v>662</v>
      </c>
      <c r="G325" s="7" t="s">
        <v>663</v>
      </c>
      <c r="H325" s="8">
        <f>ROUND(SUMPRODUCT(SUMIF(Final!$G$4:$G$330,CashReserveLevy!D325:F325,Final!$C$4:$C$330)),0)</f>
        <v>6422185</v>
      </c>
      <c r="I325" s="8">
        <f t="shared" si="26"/>
        <v>1284437</v>
      </c>
      <c r="J325" s="8">
        <f>ROUND(SUMPRODUCT(SUMIF(Final!$G$4:$G$330,CashReserveLevy!D325:F325,Final!$E$4:$E$330)),0)</f>
        <v>3458269</v>
      </c>
      <c r="K325" s="8">
        <f t="shared" si="27"/>
        <v>0</v>
      </c>
      <c r="L325" s="8">
        <f>INDEX(ActualCRLevy_SAS!$A$2:$D$326,MATCH(CashReserveLevy!$C325,ActualCRLevy_SAS!$B$2:$B$326,0),4)</f>
        <v>0</v>
      </c>
      <c r="M325" s="31" t="str">
        <f t="shared" si="28"/>
        <v/>
      </c>
      <c r="N325" s="1" t="str">
        <f t="shared" si="29"/>
        <v/>
      </c>
      <c r="O325" s="1" t="str">
        <f t="shared" si="25"/>
        <v/>
      </c>
    </row>
    <row r="326" spans="1:15" x14ac:dyDescent="0.2">
      <c r="A326" s="7">
        <v>2026</v>
      </c>
      <c r="B326" s="7" t="s">
        <v>11</v>
      </c>
      <c r="C326" s="7" t="s">
        <v>664</v>
      </c>
      <c r="D326" s="7" t="s">
        <v>687</v>
      </c>
      <c r="E326" s="7" t="s">
        <v>687</v>
      </c>
      <c r="F326" s="7" t="s">
        <v>664</v>
      </c>
      <c r="G326" s="7" t="s">
        <v>665</v>
      </c>
      <c r="H326" s="8">
        <f>ROUND(SUMPRODUCT(SUMIF(Final!$G$4:$G$330,CashReserveLevy!D326:F326,Final!$C$4:$C$330)),0)</f>
        <v>8524425</v>
      </c>
      <c r="I326" s="8">
        <f t="shared" si="26"/>
        <v>1704885</v>
      </c>
      <c r="J326" s="8">
        <f>ROUND(SUMPRODUCT(SUMIF(Final!$G$4:$G$330,CashReserveLevy!D326:F326,Final!$E$4:$E$330)),0)</f>
        <v>254740</v>
      </c>
      <c r="K326" s="8">
        <f t="shared" si="27"/>
        <v>1450145</v>
      </c>
      <c r="L326" s="8">
        <f>INDEX(ActualCRLevy_SAS!$A$2:$D$326,MATCH(CashReserveLevy!$C326,ActualCRLevy_SAS!$B$2:$B$326,0),4)</f>
        <v>375727</v>
      </c>
      <c r="M326" s="31" t="str">
        <f t="shared" si="28"/>
        <v/>
      </c>
      <c r="N326" s="1" t="str">
        <f t="shared" si="29"/>
        <v/>
      </c>
      <c r="O326" s="1" t="str">
        <f t="shared" si="25"/>
        <v/>
      </c>
    </row>
    <row r="327" spans="1:15" x14ac:dyDescent="0.2">
      <c r="A327" s="7">
        <v>2026</v>
      </c>
      <c r="B327" s="7" t="s">
        <v>0</v>
      </c>
      <c r="C327" s="7" t="s">
        <v>666</v>
      </c>
      <c r="D327" s="7" t="s">
        <v>687</v>
      </c>
      <c r="E327" s="7" t="s">
        <v>687</v>
      </c>
      <c r="F327" s="7" t="s">
        <v>666</v>
      </c>
      <c r="G327" s="7" t="s">
        <v>667</v>
      </c>
      <c r="H327" s="8">
        <f>ROUND(SUMPRODUCT(SUMIF(Final!$G$4:$G$330,CashReserveLevy!D327:F327,Final!$C$4:$C$330)),0)</f>
        <v>18373210</v>
      </c>
      <c r="I327" s="8">
        <f t="shared" si="26"/>
        <v>3674642</v>
      </c>
      <c r="J327" s="8">
        <f>ROUND(SUMPRODUCT(SUMIF(Final!$G$4:$G$330,CashReserveLevy!D327:F327,Final!$E$4:$E$330)),0)</f>
        <v>-1339932</v>
      </c>
      <c r="K327" s="8">
        <f t="shared" si="27"/>
        <v>5014574</v>
      </c>
      <c r="L327" s="8">
        <f>INDEX(ActualCRLevy_SAS!$A$2:$D$326,MATCH(CashReserveLevy!$C327,ActualCRLevy_SAS!$B$2:$B$326,0),4)</f>
        <v>1025000</v>
      </c>
      <c r="M327" s="31" t="str">
        <f t="shared" si="28"/>
        <v/>
      </c>
      <c r="N327" s="1" t="str">
        <f t="shared" si="29"/>
        <v/>
      </c>
      <c r="O327" s="1" t="str">
        <f t="shared" si="25"/>
        <v/>
      </c>
    </row>
    <row r="328" spans="1:15" ht="13.5" thickBot="1" x14ac:dyDescent="0.25">
      <c r="H328" s="12">
        <f>SUM(H3:H327)</f>
        <v>7102886770</v>
      </c>
      <c r="I328" s="12">
        <f>SUM(I3:I327)</f>
        <v>1420577351</v>
      </c>
      <c r="J328" s="12">
        <f>SUM(J3:J327)</f>
        <v>1374106096</v>
      </c>
      <c r="K328" s="12">
        <f>SUM(K3:K327)</f>
        <v>344604335</v>
      </c>
      <c r="L328" s="12">
        <f>SUM(L3:L327)</f>
        <v>211904981</v>
      </c>
    </row>
    <row r="329" spans="1:15" ht="13.5" thickTop="1" x14ac:dyDescent="0.2"/>
    <row r="332" spans="1:15" x14ac:dyDescent="0.2">
      <c r="K332" s="5" t="s">
        <v>683</v>
      </c>
      <c r="L332" s="32">
        <f>COUNTIF($K$3:$K$327,0)</f>
        <v>159</v>
      </c>
    </row>
    <row r="333" spans="1:15" x14ac:dyDescent="0.2">
      <c r="K333" s="5" t="s">
        <v>684</v>
      </c>
      <c r="L333" s="32">
        <f>COUNTIF($L$3:$L$327,"&gt;0")</f>
        <v>160</v>
      </c>
    </row>
    <row r="334" spans="1:15" x14ac:dyDescent="0.2">
      <c r="K334" s="5" t="s">
        <v>686</v>
      </c>
      <c r="L334" s="32">
        <f>COUNTIF($N$3:$N$327,"No Levy but have Capacity")</f>
        <v>6</v>
      </c>
    </row>
    <row r="335" spans="1:15" x14ac:dyDescent="0.2">
      <c r="K335" s="5" t="s">
        <v>685</v>
      </c>
      <c r="L335" s="32">
        <f>COUNTIF($M$3:$M$327,"Max")</f>
        <v>53</v>
      </c>
    </row>
    <row r="337" spans="9:13" ht="38.25" x14ac:dyDescent="0.2">
      <c r="I337" s="9" t="s">
        <v>689</v>
      </c>
      <c r="J337" s="10" t="s">
        <v>1018</v>
      </c>
      <c r="K337" s="10" t="s">
        <v>690</v>
      </c>
      <c r="L337" s="11" t="s">
        <v>1019</v>
      </c>
      <c r="M337" s="10" t="s">
        <v>691</v>
      </c>
    </row>
    <row r="338" spans="9:13" x14ac:dyDescent="0.2">
      <c r="I338" s="7">
        <v>2002</v>
      </c>
      <c r="J338" s="8">
        <v>395337064</v>
      </c>
      <c r="K338" s="8">
        <v>68317829</v>
      </c>
      <c r="L338" s="15">
        <f t="shared" ref="L338:L360" si="30">K338/J338</f>
        <v>0.1728090665437835</v>
      </c>
      <c r="M338" s="7"/>
    </row>
    <row r="339" spans="9:13" x14ac:dyDescent="0.2">
      <c r="I339" s="7">
        <v>2003</v>
      </c>
      <c r="J339" s="8">
        <v>399692119</v>
      </c>
      <c r="K339" s="8">
        <v>92775492</v>
      </c>
      <c r="L339" s="15">
        <f t="shared" si="30"/>
        <v>0.2321173913364051</v>
      </c>
      <c r="M339" s="15">
        <f t="shared" ref="M339:M361" si="31">(K339-K338)/K338</f>
        <v>0.35799824669487085</v>
      </c>
    </row>
    <row r="340" spans="9:13" x14ac:dyDescent="0.2">
      <c r="I340" s="7">
        <v>2004</v>
      </c>
      <c r="J340" s="8">
        <v>443895075</v>
      </c>
      <c r="K340" s="8">
        <v>93735656</v>
      </c>
      <c r="L340" s="15">
        <f t="shared" si="30"/>
        <v>0.211166244635627</v>
      </c>
      <c r="M340" s="15">
        <f t="shared" si="31"/>
        <v>1.0349328031588343E-2</v>
      </c>
    </row>
    <row r="341" spans="9:13" x14ac:dyDescent="0.2">
      <c r="I341" s="7">
        <v>2005</v>
      </c>
      <c r="J341" s="8">
        <v>445825608</v>
      </c>
      <c r="K341" s="8">
        <v>96591952</v>
      </c>
      <c r="L341" s="15">
        <f t="shared" si="30"/>
        <v>0.21665859983529703</v>
      </c>
      <c r="M341" s="15">
        <f t="shared" si="31"/>
        <v>3.0471819602990776E-2</v>
      </c>
    </row>
    <row r="342" spans="9:13" x14ac:dyDescent="0.2">
      <c r="I342" s="7">
        <v>2006</v>
      </c>
      <c r="J342" s="8">
        <v>468791916</v>
      </c>
      <c r="K342" s="8">
        <v>97853720</v>
      </c>
      <c r="L342" s="15">
        <f t="shared" si="30"/>
        <v>0.20873593733216167</v>
      </c>
      <c r="M342" s="15">
        <f t="shared" si="31"/>
        <v>1.306286884025286E-2</v>
      </c>
    </row>
    <row r="343" spans="9:13" x14ac:dyDescent="0.2">
      <c r="I343" s="7">
        <v>2007</v>
      </c>
      <c r="J343" s="8">
        <v>495492815</v>
      </c>
      <c r="K343" s="8">
        <v>119543594</v>
      </c>
      <c r="L343" s="15">
        <f t="shared" si="30"/>
        <v>0.24126201305260098</v>
      </c>
      <c r="M343" s="15">
        <f t="shared" si="31"/>
        <v>0.22165610055499169</v>
      </c>
    </row>
    <row r="344" spans="9:13" x14ac:dyDescent="0.2">
      <c r="I344" s="7">
        <v>2008</v>
      </c>
      <c r="J344" s="8">
        <v>610214870</v>
      </c>
      <c r="K344" s="8">
        <v>133598310</v>
      </c>
      <c r="L344" s="15">
        <f t="shared" si="30"/>
        <v>0.21893650346475496</v>
      </c>
      <c r="M344" s="15">
        <f t="shared" si="31"/>
        <v>0.11756979633722574</v>
      </c>
    </row>
    <row r="345" spans="9:13" x14ac:dyDescent="0.2">
      <c r="I345" s="7">
        <v>2009</v>
      </c>
      <c r="J345" s="8">
        <v>629299779</v>
      </c>
      <c r="K345" s="8">
        <v>154418943</v>
      </c>
      <c r="L345" s="15">
        <f t="shared" si="30"/>
        <v>0.24538216626324288</v>
      </c>
      <c r="M345" s="15">
        <f t="shared" si="31"/>
        <v>0.15584503277024986</v>
      </c>
    </row>
    <row r="346" spans="9:13" x14ac:dyDescent="0.2">
      <c r="I346" s="7">
        <v>2010</v>
      </c>
      <c r="J346" s="8">
        <v>697255519</v>
      </c>
      <c r="K346" s="8">
        <v>194327650</v>
      </c>
      <c r="L346" s="15">
        <f t="shared" si="30"/>
        <v>0.27870363834294726</v>
      </c>
      <c r="M346" s="15">
        <f t="shared" si="31"/>
        <v>0.25844437362843498</v>
      </c>
    </row>
    <row r="347" spans="9:13" x14ac:dyDescent="0.2">
      <c r="I347" s="7">
        <v>2011</v>
      </c>
      <c r="J347" s="8">
        <v>833404808</v>
      </c>
      <c r="K347" s="8">
        <v>298278645</v>
      </c>
      <c r="L347" s="15">
        <f t="shared" si="30"/>
        <v>0.35790367674480705</v>
      </c>
      <c r="M347" s="15">
        <f t="shared" si="31"/>
        <v>0.53492642452064854</v>
      </c>
    </row>
    <row r="348" spans="9:13" x14ac:dyDescent="0.2">
      <c r="I348" s="7">
        <v>2012</v>
      </c>
      <c r="J348" s="8">
        <v>939182813</v>
      </c>
      <c r="K348" s="8">
        <v>274120078</v>
      </c>
      <c r="L348" s="15">
        <f t="shared" si="30"/>
        <v>0.2918708415504192</v>
      </c>
      <c r="M348" s="15">
        <f t="shared" si="31"/>
        <v>-8.099328398115796E-2</v>
      </c>
    </row>
    <row r="349" spans="9:13" x14ac:dyDescent="0.2">
      <c r="I349" s="7">
        <v>2013</v>
      </c>
      <c r="J349" s="8">
        <v>541159478</v>
      </c>
      <c r="K349" s="8">
        <v>231935729</v>
      </c>
      <c r="L349" s="15">
        <f t="shared" si="30"/>
        <v>0.42859034800089002</v>
      </c>
      <c r="M349" s="15">
        <f t="shared" si="31"/>
        <v>-0.15389003719749417</v>
      </c>
    </row>
    <row r="350" spans="9:13" x14ac:dyDescent="0.2">
      <c r="I350" s="7">
        <v>2014</v>
      </c>
      <c r="J350" s="8">
        <v>372534536</v>
      </c>
      <c r="K350" s="8">
        <v>190880844</v>
      </c>
      <c r="L350" s="15">
        <f t="shared" si="30"/>
        <v>0.51238429072788028</v>
      </c>
      <c r="M350" s="15">
        <f t="shared" si="31"/>
        <v>-0.17700974824797261</v>
      </c>
    </row>
    <row r="351" spans="9:13" x14ac:dyDescent="0.2">
      <c r="I351" s="7">
        <v>2015</v>
      </c>
      <c r="J351" s="8">
        <v>368617258</v>
      </c>
      <c r="K351" s="8">
        <v>182986988</v>
      </c>
      <c r="L351" s="15">
        <f t="shared" si="30"/>
        <v>0.4964145981466771</v>
      </c>
      <c r="M351" s="15">
        <f t="shared" si="31"/>
        <v>-4.1354888393096166E-2</v>
      </c>
    </row>
    <row r="352" spans="9:13" x14ac:dyDescent="0.2">
      <c r="I352" s="7">
        <v>2016</v>
      </c>
      <c r="J352" s="8">
        <v>406932765</v>
      </c>
      <c r="K352" s="8">
        <v>208313187</v>
      </c>
      <c r="L352" s="15">
        <f t="shared" si="30"/>
        <v>0.5119105781516512</v>
      </c>
      <c r="M352" s="15">
        <f t="shared" si="31"/>
        <v>0.13840437113484813</v>
      </c>
    </row>
    <row r="353" spans="9:13" x14ac:dyDescent="0.2">
      <c r="I353" s="7">
        <v>2017</v>
      </c>
      <c r="J353" s="8">
        <v>427779662</v>
      </c>
      <c r="K353" s="8">
        <v>220376419</v>
      </c>
      <c r="L353" s="15">
        <f t="shared" si="30"/>
        <v>0.51516338567774178</v>
      </c>
      <c r="M353" s="15">
        <f t="shared" si="31"/>
        <v>5.7909113550262181E-2</v>
      </c>
    </row>
    <row r="354" spans="9:13" x14ac:dyDescent="0.2">
      <c r="I354" s="7">
        <v>2018</v>
      </c>
      <c r="J354" s="8">
        <v>409076065</v>
      </c>
      <c r="K354" s="8">
        <v>224656516</v>
      </c>
      <c r="L354" s="15">
        <f t="shared" si="30"/>
        <v>0.54918029975672134</v>
      </c>
      <c r="M354" s="15">
        <f t="shared" si="31"/>
        <v>1.9421755827695883E-2</v>
      </c>
    </row>
    <row r="355" spans="9:13" x14ac:dyDescent="0.2">
      <c r="I355" s="7">
        <v>2019</v>
      </c>
      <c r="J355" s="8">
        <v>376656741</v>
      </c>
      <c r="K355" s="8">
        <v>218411192</v>
      </c>
      <c r="L355" s="15">
        <f t="shared" si="30"/>
        <v>0.57986800241549374</v>
      </c>
      <c r="M355" s="15">
        <f t="shared" si="31"/>
        <v>-2.7799434048020225E-2</v>
      </c>
    </row>
    <row r="356" spans="9:13" x14ac:dyDescent="0.2">
      <c r="I356" s="7">
        <v>2020</v>
      </c>
      <c r="J356" s="8">
        <v>371353423</v>
      </c>
      <c r="K356" s="8">
        <v>229961645</v>
      </c>
      <c r="L356" s="15">
        <f t="shared" si="30"/>
        <v>0.61925279466186578</v>
      </c>
      <c r="M356" s="15">
        <f t="shared" si="31"/>
        <v>5.2883979498633021E-2</v>
      </c>
    </row>
    <row r="357" spans="9:13" x14ac:dyDescent="0.2">
      <c r="I357" s="7">
        <v>2021</v>
      </c>
      <c r="J357" s="8">
        <v>360266559</v>
      </c>
      <c r="K357" s="8">
        <v>225941109</v>
      </c>
      <c r="L357" s="15">
        <f t="shared" si="30"/>
        <v>0.62714982380587814</v>
      </c>
      <c r="M357" s="15">
        <f t="shared" si="31"/>
        <v>-1.7483506869156375E-2</v>
      </c>
    </row>
    <row r="358" spans="9:13" x14ac:dyDescent="0.2">
      <c r="I358" s="7">
        <v>2022</v>
      </c>
      <c r="J358" s="8">
        <v>327209555</v>
      </c>
      <c r="K358" s="8">
        <v>204983990</v>
      </c>
      <c r="L358" s="15">
        <f t="shared" si="30"/>
        <v>0.62646089292838647</v>
      </c>
      <c r="M358" s="15">
        <f t="shared" si="31"/>
        <v>-9.2754785053303423E-2</v>
      </c>
    </row>
    <row r="359" spans="9:13" x14ac:dyDescent="0.2">
      <c r="I359" s="7">
        <v>2023</v>
      </c>
      <c r="J359" s="8">
        <v>255963389</v>
      </c>
      <c r="K359" s="8">
        <v>191705908</v>
      </c>
      <c r="L359" s="15">
        <f t="shared" si="30"/>
        <v>0.74895831294060577</v>
      </c>
      <c r="M359" s="15">
        <f t="shared" si="31"/>
        <v>-6.4776190569809863E-2</v>
      </c>
    </row>
    <row r="360" spans="9:13" x14ac:dyDescent="0.2">
      <c r="I360" s="7">
        <v>2024</v>
      </c>
      <c r="J360" s="8">
        <v>248818372</v>
      </c>
      <c r="K360" s="8">
        <v>165940551</v>
      </c>
      <c r="L360" s="15">
        <f t="shared" si="30"/>
        <v>0.66691438283343485</v>
      </c>
      <c r="M360" s="15">
        <f t="shared" si="31"/>
        <v>-0.13440043277122163</v>
      </c>
    </row>
    <row r="361" spans="9:13" x14ac:dyDescent="0.2">
      <c r="I361" s="7">
        <v>2025</v>
      </c>
      <c r="J361" s="8">
        <v>319237823</v>
      </c>
      <c r="K361" s="8">
        <v>187519584</v>
      </c>
      <c r="L361" s="15">
        <f>K361/J361</f>
        <v>0.58739776583428216</v>
      </c>
      <c r="M361" s="15">
        <f t="shared" si="31"/>
        <v>0.13004074573670663</v>
      </c>
    </row>
    <row r="362" spans="9:13" x14ac:dyDescent="0.2">
      <c r="I362" s="7">
        <v>2026</v>
      </c>
      <c r="J362" s="8">
        <v>344604335</v>
      </c>
      <c r="K362" s="8">
        <v>211904981</v>
      </c>
      <c r="L362" s="15">
        <f>K362/J362</f>
        <v>0.61492256329276884</v>
      </c>
      <c r="M362" s="15">
        <f>(K362-K361)/K361</f>
        <v>0.13004186805363221</v>
      </c>
    </row>
  </sheetData>
  <sheetProtection sheet="1" objects="1" scenarios="1"/>
  <mergeCells count="1">
    <mergeCell ref="G1:M1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31"/>
  <sheetViews>
    <sheetView showGridLines="0" workbookViewId="0">
      <pane xSplit="2" ySplit="3" topLeftCell="C311" activePane="bottomRight" state="frozen"/>
      <selection pane="topRight" activeCell="C1" sqref="C1"/>
      <selection pane="bottomLeft" activeCell="A5" sqref="A5"/>
      <selection pane="bottomRight" activeCell="E332" sqref="E332"/>
    </sheetView>
  </sheetViews>
  <sheetFormatPr defaultRowHeight="15" x14ac:dyDescent="0.25"/>
  <cols>
    <col min="1" max="1" width="8.28515625" customWidth="1"/>
    <col min="2" max="2" width="53.7109375" bestFit="1" customWidth="1"/>
    <col min="3" max="3" width="15.42578125" bestFit="1" customWidth="1"/>
    <col min="4" max="4" width="15.28515625" customWidth="1"/>
    <col min="5" max="5" width="23" customWidth="1"/>
    <col min="6" max="6" width="17.28515625" bestFit="1" customWidth="1"/>
    <col min="10" max="10" width="12" bestFit="1" customWidth="1"/>
    <col min="11" max="12" width="13.85546875" bestFit="1" customWidth="1"/>
    <col min="13" max="13" width="13.85546875" customWidth="1"/>
    <col min="15" max="15" width="13.85546875" bestFit="1" customWidth="1"/>
  </cols>
  <sheetData>
    <row r="1" spans="1:26" x14ac:dyDescent="0.25">
      <c r="A1" s="14" t="s">
        <v>1023</v>
      </c>
      <c r="B1" s="14"/>
      <c r="C1" s="14"/>
      <c r="D1" s="14"/>
      <c r="E1" s="14"/>
      <c r="F1" s="14"/>
    </row>
    <row r="2" spans="1:26" ht="15.75" thickBot="1" x14ac:dyDescent="0.3"/>
    <row r="3" spans="1:26" s="22" customFormat="1" ht="34.15" customHeight="1" x14ac:dyDescent="0.25">
      <c r="A3" s="17" t="s">
        <v>1024</v>
      </c>
      <c r="B3" s="18" t="s">
        <v>1025</v>
      </c>
      <c r="C3" s="19" t="s">
        <v>674</v>
      </c>
      <c r="D3" s="20" t="s">
        <v>675</v>
      </c>
      <c r="E3" s="20" t="s">
        <v>1014</v>
      </c>
      <c r="F3" s="21" t="s">
        <v>676</v>
      </c>
      <c r="J3"/>
      <c r="K3"/>
      <c r="L3"/>
      <c r="M3"/>
      <c r="N3"/>
      <c r="O3"/>
    </row>
    <row r="4" spans="1:26" x14ac:dyDescent="0.25">
      <c r="A4" s="23">
        <v>9</v>
      </c>
      <c r="B4" s="24" t="s">
        <v>693</v>
      </c>
      <c r="C4" s="25">
        <v>10259078.210000001</v>
      </c>
      <c r="D4" s="25">
        <v>1013438.35</v>
      </c>
      <c r="E4" s="25">
        <v>-155501.85</v>
      </c>
      <c r="F4" s="26">
        <v>487213.7</v>
      </c>
      <c r="G4" t="str">
        <f>TEXT(A4,"0000")</f>
        <v>0009</v>
      </c>
      <c r="K4" s="3"/>
      <c r="L4" s="3"/>
      <c r="M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23">
        <v>18</v>
      </c>
      <c r="B5" s="24" t="s">
        <v>694</v>
      </c>
      <c r="C5" s="25">
        <v>4907234.25</v>
      </c>
      <c r="D5" s="25">
        <v>1324784.44</v>
      </c>
      <c r="E5" s="25">
        <v>1437725.85</v>
      </c>
      <c r="F5" s="26">
        <v>1589963.01</v>
      </c>
      <c r="G5" t="str">
        <f t="shared" ref="G5:G68" si="0">TEXT(A5,"0000")</f>
        <v>0018</v>
      </c>
      <c r="K5" s="3"/>
      <c r="L5" s="3"/>
      <c r="M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3">
        <v>27</v>
      </c>
      <c r="B6" s="24" t="s">
        <v>695</v>
      </c>
      <c r="C6" s="25">
        <v>27144003.02</v>
      </c>
      <c r="D6" s="25">
        <v>3518011.72</v>
      </c>
      <c r="E6" s="25">
        <v>4129415.21</v>
      </c>
      <c r="F6" s="26">
        <v>5243672.58</v>
      </c>
      <c r="G6" t="str">
        <f t="shared" si="0"/>
        <v>0027</v>
      </c>
      <c r="K6" s="3"/>
      <c r="L6" s="3"/>
      <c r="M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3">
        <v>63</v>
      </c>
      <c r="B7" s="24" t="s">
        <v>696</v>
      </c>
      <c r="C7" s="25">
        <v>8463069.5500000007</v>
      </c>
      <c r="D7" s="25">
        <v>1513795.6</v>
      </c>
      <c r="E7" s="25">
        <v>861250.52</v>
      </c>
      <c r="F7" s="26">
        <v>1354462.3</v>
      </c>
      <c r="G7" t="str">
        <f t="shared" si="0"/>
        <v>0063</v>
      </c>
      <c r="K7" s="3"/>
      <c r="L7" s="3"/>
      <c r="M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3">
        <v>72</v>
      </c>
      <c r="B8" s="24" t="s">
        <v>697</v>
      </c>
      <c r="C8" s="25">
        <v>2967466.99</v>
      </c>
      <c r="D8" s="25">
        <v>507070.49</v>
      </c>
      <c r="E8" s="25">
        <v>1552673.84</v>
      </c>
      <c r="F8" s="26">
        <v>1648347.4</v>
      </c>
      <c r="G8" t="str">
        <f t="shared" si="0"/>
        <v>0072</v>
      </c>
      <c r="K8" s="3"/>
      <c r="L8" s="3"/>
      <c r="M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23">
        <v>81</v>
      </c>
      <c r="B9" s="24" t="s">
        <v>698</v>
      </c>
      <c r="C9" s="25">
        <v>14649276.99</v>
      </c>
      <c r="D9" s="25">
        <v>2153367.09</v>
      </c>
      <c r="E9" s="25">
        <v>4141164.75</v>
      </c>
      <c r="F9" s="26">
        <v>4330667.76</v>
      </c>
      <c r="G9" t="str">
        <f t="shared" si="0"/>
        <v>0081</v>
      </c>
      <c r="K9" s="3"/>
      <c r="L9" s="3"/>
      <c r="M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23">
        <v>99</v>
      </c>
      <c r="B10" s="24" t="s">
        <v>699</v>
      </c>
      <c r="C10" s="25">
        <v>9574247.4100000001</v>
      </c>
      <c r="D10" s="25">
        <v>3366760.94</v>
      </c>
      <c r="E10" s="25">
        <v>1279357.2</v>
      </c>
      <c r="F10" s="26">
        <v>1396816.61</v>
      </c>
      <c r="G10" t="str">
        <f t="shared" si="0"/>
        <v>0099</v>
      </c>
      <c r="K10" s="3"/>
      <c r="L10" s="3"/>
      <c r="M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23">
        <v>108</v>
      </c>
      <c r="B11" s="24" t="s">
        <v>700</v>
      </c>
      <c r="C11" s="25">
        <v>3882411.42</v>
      </c>
      <c r="D11" s="25">
        <v>508751.07</v>
      </c>
      <c r="E11" s="25">
        <v>380516.29</v>
      </c>
      <c r="F11" s="26">
        <v>641113.64</v>
      </c>
      <c r="G11" t="str">
        <f t="shared" si="0"/>
        <v>0108</v>
      </c>
      <c r="K11" s="3"/>
      <c r="L11" s="3"/>
      <c r="M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3">
        <v>126</v>
      </c>
      <c r="B12" s="24" t="s">
        <v>701</v>
      </c>
      <c r="C12" s="25">
        <v>22265556.850000001</v>
      </c>
      <c r="D12" s="25">
        <v>3291012.84</v>
      </c>
      <c r="E12" s="25">
        <v>3638894.61</v>
      </c>
      <c r="F12" s="26">
        <v>4239198.04</v>
      </c>
      <c r="G12" t="str">
        <f t="shared" si="0"/>
        <v>0126</v>
      </c>
      <c r="K12" s="3"/>
      <c r="L12" s="3"/>
      <c r="M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3">
        <v>135</v>
      </c>
      <c r="B13" s="24" t="s">
        <v>702</v>
      </c>
      <c r="C13" s="25">
        <v>15125259.76</v>
      </c>
      <c r="D13" s="25">
        <v>2444149.04</v>
      </c>
      <c r="E13" s="25">
        <v>1748724.58</v>
      </c>
      <c r="F13" s="26">
        <v>2440450.4900000002</v>
      </c>
      <c r="G13" t="str">
        <f t="shared" si="0"/>
        <v>0135</v>
      </c>
      <c r="K13" s="3"/>
      <c r="L13" s="3"/>
      <c r="M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3">
        <v>153</v>
      </c>
      <c r="B14" s="24" t="s">
        <v>703</v>
      </c>
      <c r="C14" s="25">
        <v>7898950.75</v>
      </c>
      <c r="D14" s="25">
        <v>1359378.78</v>
      </c>
      <c r="E14" s="25">
        <v>1535841.63</v>
      </c>
      <c r="F14" s="26">
        <v>1897762.94</v>
      </c>
      <c r="G14" t="str">
        <f t="shared" si="0"/>
        <v>0153</v>
      </c>
      <c r="K14" s="3"/>
      <c r="L14" s="3"/>
      <c r="M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3">
        <v>171</v>
      </c>
      <c r="B15" s="24" t="s">
        <v>704</v>
      </c>
      <c r="C15" s="25">
        <v>11750215.9</v>
      </c>
      <c r="D15" s="25">
        <v>1388374.91</v>
      </c>
      <c r="E15" s="25">
        <v>1427391.2</v>
      </c>
      <c r="F15" s="26">
        <v>2013651.94</v>
      </c>
      <c r="G15" t="str">
        <f t="shared" si="0"/>
        <v>0171</v>
      </c>
      <c r="K15" s="3"/>
      <c r="L15" s="3"/>
      <c r="M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3">
        <v>225</v>
      </c>
      <c r="B16" s="24" t="s">
        <v>705</v>
      </c>
      <c r="C16" s="25">
        <v>65267650.539999999</v>
      </c>
      <c r="D16" s="25">
        <v>12526039.710000001</v>
      </c>
      <c r="E16" s="25">
        <v>14130395.76</v>
      </c>
      <c r="F16" s="26">
        <v>15306679.01</v>
      </c>
      <c r="G16" t="str">
        <f t="shared" si="0"/>
        <v>0225</v>
      </c>
      <c r="K16" s="3"/>
      <c r="L16" s="3"/>
      <c r="M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3">
        <v>234</v>
      </c>
      <c r="B17" s="24" t="s">
        <v>706</v>
      </c>
      <c r="C17" s="25">
        <v>15431907.74</v>
      </c>
      <c r="D17" s="25">
        <v>2114668.5299999998</v>
      </c>
      <c r="E17" s="25">
        <v>5859509.4000000004</v>
      </c>
      <c r="F17" s="26">
        <v>6358590.5999999996</v>
      </c>
      <c r="G17" t="str">
        <f t="shared" si="0"/>
        <v>0234</v>
      </c>
      <c r="K17" s="3"/>
      <c r="L17" s="3"/>
      <c r="M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3">
        <v>243</v>
      </c>
      <c r="B18" s="24" t="s">
        <v>707</v>
      </c>
      <c r="C18" s="25">
        <v>4658728.96</v>
      </c>
      <c r="D18" s="25">
        <v>1619481.76</v>
      </c>
      <c r="E18" s="25">
        <v>448206.83</v>
      </c>
      <c r="F18" s="26">
        <v>536362.19999999995</v>
      </c>
      <c r="G18" t="str">
        <f t="shared" si="0"/>
        <v>0243</v>
      </c>
      <c r="K18" s="3"/>
      <c r="L18" s="3"/>
      <c r="M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3">
        <v>261</v>
      </c>
      <c r="B19" s="24" t="s">
        <v>708</v>
      </c>
      <c r="C19" s="25">
        <v>164007722.61000001</v>
      </c>
      <c r="D19" s="25">
        <v>11692768.02</v>
      </c>
      <c r="E19" s="25">
        <v>16833353.34</v>
      </c>
      <c r="F19" s="26">
        <v>25602290.23</v>
      </c>
      <c r="G19" t="str">
        <f t="shared" si="0"/>
        <v>0261</v>
      </c>
      <c r="K19" s="3"/>
      <c r="L19" s="3"/>
      <c r="M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3">
        <v>279</v>
      </c>
      <c r="B20" s="24" t="s">
        <v>709</v>
      </c>
      <c r="C20" s="25">
        <v>10493387.91</v>
      </c>
      <c r="D20" s="25">
        <v>1297206.6399999999</v>
      </c>
      <c r="E20" s="25">
        <v>3343883</v>
      </c>
      <c r="F20" s="26">
        <v>3852688.65</v>
      </c>
      <c r="G20" t="str">
        <f t="shared" si="0"/>
        <v>0279</v>
      </c>
      <c r="K20" s="3"/>
      <c r="L20" s="3"/>
      <c r="M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3">
        <v>333</v>
      </c>
      <c r="B21" s="24" t="s">
        <v>710</v>
      </c>
      <c r="C21" s="25">
        <v>6571827.6399999997</v>
      </c>
      <c r="D21" s="25">
        <v>1399066.98</v>
      </c>
      <c r="E21" s="25">
        <v>1378086.07</v>
      </c>
      <c r="F21" s="26">
        <v>1517396.41</v>
      </c>
      <c r="G21" t="str">
        <f t="shared" si="0"/>
        <v>0333</v>
      </c>
      <c r="K21" s="3"/>
      <c r="L21" s="3"/>
      <c r="M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3">
        <v>355</v>
      </c>
      <c r="B22" s="24" t="s">
        <v>711</v>
      </c>
      <c r="C22" s="25">
        <v>3771806.06</v>
      </c>
      <c r="D22" s="25">
        <v>674079.36</v>
      </c>
      <c r="E22" s="25">
        <v>2760760.03</v>
      </c>
      <c r="F22" s="26">
        <v>2859585.85</v>
      </c>
      <c r="G22" t="str">
        <f t="shared" si="0"/>
        <v>0355</v>
      </c>
      <c r="K22" s="3"/>
      <c r="L22" s="3"/>
      <c r="M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3">
        <v>387</v>
      </c>
      <c r="B23" s="24" t="s">
        <v>712</v>
      </c>
      <c r="C23" s="25">
        <v>19748116.280000001</v>
      </c>
      <c r="D23" s="25">
        <v>3121007.9</v>
      </c>
      <c r="E23" s="25">
        <v>5401605.2999999998</v>
      </c>
      <c r="F23" s="26">
        <v>5928789.25</v>
      </c>
      <c r="G23" t="str">
        <f t="shared" si="0"/>
        <v>0387</v>
      </c>
      <c r="K23" s="3"/>
      <c r="L23" s="3"/>
      <c r="M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3">
        <v>414</v>
      </c>
      <c r="B24" s="24" t="s">
        <v>713</v>
      </c>
      <c r="C24" s="25">
        <v>7771309.2400000002</v>
      </c>
      <c r="D24" s="25">
        <v>1621559.05</v>
      </c>
      <c r="E24" s="25">
        <v>2082293.8</v>
      </c>
      <c r="F24" s="26">
        <v>2353347.3199999998</v>
      </c>
      <c r="G24" t="str">
        <f t="shared" si="0"/>
        <v>0414</v>
      </c>
      <c r="K24" s="3"/>
      <c r="L24" s="3"/>
      <c r="M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3">
        <v>441</v>
      </c>
      <c r="B25" s="24" t="s">
        <v>714</v>
      </c>
      <c r="C25" s="25">
        <v>10779049.83</v>
      </c>
      <c r="D25" s="25">
        <v>1326867.8500000001</v>
      </c>
      <c r="E25" s="25">
        <v>2037900.93</v>
      </c>
      <c r="F25" s="26">
        <v>2178131.33</v>
      </c>
      <c r="G25" t="str">
        <f t="shared" si="0"/>
        <v>0441</v>
      </c>
      <c r="K25" s="3"/>
      <c r="L25" s="3"/>
      <c r="M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3">
        <v>472</v>
      </c>
      <c r="B26" s="24" t="s">
        <v>715</v>
      </c>
      <c r="C26" s="25">
        <v>24250016.620000001</v>
      </c>
      <c r="D26" s="25">
        <v>2827176.61</v>
      </c>
      <c r="E26" s="25">
        <v>1968321.22</v>
      </c>
      <c r="F26" s="26">
        <v>2621527.92</v>
      </c>
      <c r="G26" t="str">
        <f t="shared" si="0"/>
        <v>0472</v>
      </c>
      <c r="K26" s="3"/>
      <c r="L26" s="3"/>
      <c r="M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3">
        <v>513</v>
      </c>
      <c r="B27" s="24" t="s">
        <v>716</v>
      </c>
      <c r="C27" s="25">
        <v>5835339.3799999999</v>
      </c>
      <c r="D27" s="25">
        <v>1615150.02</v>
      </c>
      <c r="E27" s="25">
        <v>657131.14</v>
      </c>
      <c r="F27" s="26">
        <v>761655.05</v>
      </c>
      <c r="G27" t="str">
        <f t="shared" si="0"/>
        <v>0513</v>
      </c>
      <c r="K27" s="3"/>
      <c r="L27" s="3"/>
      <c r="M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23">
        <v>540</v>
      </c>
      <c r="B28" s="24" t="s">
        <v>717</v>
      </c>
      <c r="C28" s="25">
        <v>8339332.3899999997</v>
      </c>
      <c r="D28" s="25">
        <v>2108066.54</v>
      </c>
      <c r="E28" s="25">
        <v>1081521.56</v>
      </c>
      <c r="F28" s="26">
        <v>1382605.97</v>
      </c>
      <c r="G28" t="str">
        <f t="shared" si="0"/>
        <v>0540</v>
      </c>
      <c r="K28" s="3"/>
      <c r="L28" s="3"/>
      <c r="M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3">
        <v>549</v>
      </c>
      <c r="B29" s="24" t="s">
        <v>718</v>
      </c>
      <c r="C29" s="25">
        <v>7318636.2999999998</v>
      </c>
      <c r="D29" s="25">
        <v>1265772.5</v>
      </c>
      <c r="E29" s="25">
        <v>1507800.33</v>
      </c>
      <c r="F29" s="26">
        <v>1507800.33</v>
      </c>
      <c r="G29" t="str">
        <f t="shared" si="0"/>
        <v>0549</v>
      </c>
      <c r="K29" s="3"/>
      <c r="L29" s="3"/>
      <c r="M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23">
        <v>576</v>
      </c>
      <c r="B30" s="24" t="s">
        <v>719</v>
      </c>
      <c r="C30" s="25">
        <v>6683095.8399999999</v>
      </c>
      <c r="D30" s="25">
        <v>649142.94999999995</v>
      </c>
      <c r="E30" s="25">
        <v>1508550.21</v>
      </c>
      <c r="F30" s="26">
        <v>1636047.31</v>
      </c>
      <c r="G30" t="str">
        <f t="shared" si="0"/>
        <v>0576</v>
      </c>
      <c r="K30" s="3"/>
      <c r="L30" s="3"/>
      <c r="M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3">
        <v>585</v>
      </c>
      <c r="B31" s="24" t="s">
        <v>720</v>
      </c>
      <c r="C31" s="25">
        <v>8891469.3499999996</v>
      </c>
      <c r="D31" s="25">
        <v>1683059.11</v>
      </c>
      <c r="E31" s="25">
        <v>2064723.56</v>
      </c>
      <c r="F31" s="26">
        <v>2457793.4700000002</v>
      </c>
      <c r="G31" t="str">
        <f t="shared" si="0"/>
        <v>0585</v>
      </c>
      <c r="K31" s="3"/>
      <c r="L31" s="3"/>
      <c r="M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23">
        <v>594</v>
      </c>
      <c r="B32" s="24" t="s">
        <v>721</v>
      </c>
      <c r="C32" s="25">
        <v>10347655.9</v>
      </c>
      <c r="D32" s="25">
        <v>1293671.33</v>
      </c>
      <c r="E32" s="25">
        <v>1631627.21</v>
      </c>
      <c r="F32" s="26">
        <v>1747527.13</v>
      </c>
      <c r="G32" t="str">
        <f t="shared" si="0"/>
        <v>0594</v>
      </c>
      <c r="K32" s="3"/>
      <c r="L32" s="3"/>
      <c r="M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23">
        <v>603</v>
      </c>
      <c r="B33" s="24" t="s">
        <v>722</v>
      </c>
      <c r="C33" s="25">
        <v>2717310.77</v>
      </c>
      <c r="D33" s="25">
        <v>256881.34</v>
      </c>
      <c r="E33" s="25">
        <v>1231816</v>
      </c>
      <c r="F33" s="26">
        <v>1632722.46</v>
      </c>
      <c r="G33" t="str">
        <f t="shared" si="0"/>
        <v>0603</v>
      </c>
      <c r="K33" s="3"/>
      <c r="L33" s="3"/>
      <c r="M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23">
        <v>609</v>
      </c>
      <c r="B34" s="24" t="s">
        <v>723</v>
      </c>
      <c r="C34" s="25">
        <v>18782044.57</v>
      </c>
      <c r="D34" s="25">
        <v>2944975.04</v>
      </c>
      <c r="E34" s="25">
        <v>6942570.3200000003</v>
      </c>
      <c r="F34" s="26">
        <v>7598251.1200000001</v>
      </c>
      <c r="G34" t="str">
        <f t="shared" si="0"/>
        <v>0609</v>
      </c>
      <c r="K34" s="3"/>
      <c r="L34" s="3"/>
      <c r="M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23">
        <v>621</v>
      </c>
      <c r="B35" s="24" t="s">
        <v>724</v>
      </c>
      <c r="C35" s="25">
        <v>57111839.700000003</v>
      </c>
      <c r="D35" s="25">
        <v>13498293.220000001</v>
      </c>
      <c r="E35" s="25">
        <v>12067915.59</v>
      </c>
      <c r="F35" s="26">
        <v>15727860.9</v>
      </c>
      <c r="G35" t="str">
        <f t="shared" si="0"/>
        <v>0621</v>
      </c>
      <c r="K35" s="3"/>
      <c r="L35" s="3"/>
      <c r="M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3">
        <v>657</v>
      </c>
      <c r="B36" s="24" t="s">
        <v>725</v>
      </c>
      <c r="C36" s="25">
        <v>14257440.85</v>
      </c>
      <c r="D36" s="25">
        <v>5326396.7</v>
      </c>
      <c r="E36" s="25">
        <v>7889855.1500000004</v>
      </c>
      <c r="F36" s="26">
        <v>8306123.5599999996</v>
      </c>
      <c r="G36" t="str">
        <f t="shared" si="0"/>
        <v>0657</v>
      </c>
      <c r="K36" s="3"/>
      <c r="L36" s="3"/>
      <c r="M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3">
        <v>720</v>
      </c>
      <c r="B37" s="24" t="s">
        <v>726</v>
      </c>
      <c r="C37" s="25">
        <v>32136218.129999999</v>
      </c>
      <c r="D37" s="25">
        <v>3198669.07</v>
      </c>
      <c r="E37" s="25">
        <v>4272579.53</v>
      </c>
      <c r="F37" s="26">
        <v>5251372.3</v>
      </c>
      <c r="G37" t="str">
        <f t="shared" si="0"/>
        <v>0720</v>
      </c>
      <c r="K37" s="3"/>
      <c r="L37" s="3"/>
      <c r="M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3">
        <v>729</v>
      </c>
      <c r="B38" s="24" t="s">
        <v>727</v>
      </c>
      <c r="C38" s="25">
        <v>28499659.190000001</v>
      </c>
      <c r="D38" s="25">
        <v>3621122</v>
      </c>
      <c r="E38" s="25">
        <v>5614162.25</v>
      </c>
      <c r="F38" s="26">
        <v>6777693.0599999996</v>
      </c>
      <c r="G38" t="str">
        <f t="shared" si="0"/>
        <v>0729</v>
      </c>
      <c r="K38" s="3"/>
      <c r="L38" s="3"/>
      <c r="M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3">
        <v>747</v>
      </c>
      <c r="B39" s="24" t="s">
        <v>728</v>
      </c>
      <c r="C39" s="25">
        <v>8254592.6600000001</v>
      </c>
      <c r="D39" s="25">
        <v>1129016.6200000001</v>
      </c>
      <c r="E39" s="25">
        <v>2013587.23</v>
      </c>
      <c r="F39" s="26">
        <v>2735824.96</v>
      </c>
      <c r="G39" t="str">
        <f t="shared" si="0"/>
        <v>0747</v>
      </c>
      <c r="K39" s="3"/>
      <c r="L39" s="3"/>
      <c r="M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3">
        <v>819</v>
      </c>
      <c r="B40" s="24" t="s">
        <v>729</v>
      </c>
      <c r="C40" s="25">
        <v>7640263.4800000004</v>
      </c>
      <c r="D40" s="25">
        <v>1089510.48</v>
      </c>
      <c r="E40" s="25">
        <v>1906775.96</v>
      </c>
      <c r="F40" s="26">
        <v>2130862.35</v>
      </c>
      <c r="G40" t="str">
        <f t="shared" si="0"/>
        <v>0819</v>
      </c>
      <c r="K40" s="3"/>
      <c r="L40" s="3"/>
      <c r="M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3">
        <v>846</v>
      </c>
      <c r="B41" s="24" t="s">
        <v>730</v>
      </c>
      <c r="C41" s="25">
        <v>7848901</v>
      </c>
      <c r="D41" s="25">
        <v>1568334.68</v>
      </c>
      <c r="E41" s="25">
        <v>2491360</v>
      </c>
      <c r="F41" s="26">
        <v>2741292.33</v>
      </c>
      <c r="G41" t="str">
        <f t="shared" si="0"/>
        <v>0846</v>
      </c>
      <c r="K41" s="3"/>
      <c r="L41" s="3"/>
      <c r="M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23">
        <v>873</v>
      </c>
      <c r="B42" s="24" t="s">
        <v>731</v>
      </c>
      <c r="C42" s="25">
        <v>7210952.2199999997</v>
      </c>
      <c r="D42" s="25">
        <v>972179.75</v>
      </c>
      <c r="E42" s="25">
        <v>1032084</v>
      </c>
      <c r="F42" s="26">
        <v>1358129.05</v>
      </c>
      <c r="G42" t="str">
        <f t="shared" si="0"/>
        <v>0873</v>
      </c>
      <c r="K42" s="3"/>
      <c r="L42" s="3"/>
      <c r="M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23">
        <v>882</v>
      </c>
      <c r="B43" s="24" t="s">
        <v>732</v>
      </c>
      <c r="C43" s="25">
        <v>57994097.68</v>
      </c>
      <c r="D43" s="25">
        <v>10100460.529999999</v>
      </c>
      <c r="E43" s="25">
        <v>8819916.2400000002</v>
      </c>
      <c r="F43" s="26">
        <v>9739086.2400000002</v>
      </c>
      <c r="G43" t="str">
        <f t="shared" si="0"/>
        <v>0882</v>
      </c>
      <c r="K43" s="3"/>
      <c r="L43" s="3"/>
      <c r="M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23">
        <v>914</v>
      </c>
      <c r="B44" s="24" t="s">
        <v>733</v>
      </c>
      <c r="C44" s="25">
        <v>23365244.93</v>
      </c>
      <c r="D44" s="25">
        <v>12012385.35</v>
      </c>
      <c r="E44" s="25">
        <v>1301967.81</v>
      </c>
      <c r="F44" s="26">
        <v>2661137.39</v>
      </c>
      <c r="G44" t="str">
        <f t="shared" si="0"/>
        <v>0914</v>
      </c>
      <c r="K44" s="3"/>
      <c r="L44" s="3"/>
      <c r="M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23">
        <v>916</v>
      </c>
      <c r="B45" s="24" t="s">
        <v>734</v>
      </c>
      <c r="C45" s="25">
        <v>4428438.26</v>
      </c>
      <c r="D45" s="25">
        <v>651911.1</v>
      </c>
      <c r="E45" s="25">
        <v>834279.72</v>
      </c>
      <c r="F45" s="26">
        <v>846763.56</v>
      </c>
      <c r="G45" t="str">
        <f t="shared" si="0"/>
        <v>0916</v>
      </c>
      <c r="K45" s="3"/>
      <c r="L45" s="3"/>
      <c r="M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23">
        <v>918</v>
      </c>
      <c r="B46" s="24" t="s">
        <v>735</v>
      </c>
      <c r="C46" s="25">
        <v>5925672.8799999999</v>
      </c>
      <c r="D46" s="25">
        <v>1211287.8700000001</v>
      </c>
      <c r="E46" s="25">
        <v>1144007.33</v>
      </c>
      <c r="F46" s="26">
        <v>1373793.22</v>
      </c>
      <c r="G46" t="str">
        <f t="shared" si="0"/>
        <v>0918</v>
      </c>
      <c r="K46" s="3"/>
      <c r="L46" s="3"/>
      <c r="M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23">
        <v>936</v>
      </c>
      <c r="B47" s="24" t="s">
        <v>736</v>
      </c>
      <c r="C47" s="25">
        <v>13056571.33</v>
      </c>
      <c r="D47" s="25">
        <v>2519856.17</v>
      </c>
      <c r="E47" s="25">
        <v>-185567.43</v>
      </c>
      <c r="F47" s="26">
        <v>105623.97</v>
      </c>
      <c r="G47" t="str">
        <f t="shared" si="0"/>
        <v>0936</v>
      </c>
      <c r="K47" s="3"/>
      <c r="L47" s="3"/>
      <c r="M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23">
        <v>977</v>
      </c>
      <c r="B48" s="24" t="s">
        <v>737</v>
      </c>
      <c r="C48" s="25">
        <v>13595789.939999999</v>
      </c>
      <c r="D48" s="25">
        <v>6324925.0300000003</v>
      </c>
      <c r="E48" s="25">
        <v>1957117.63</v>
      </c>
      <c r="F48" s="26">
        <v>2126869.4</v>
      </c>
      <c r="G48" t="str">
        <f t="shared" si="0"/>
        <v>0977</v>
      </c>
      <c r="K48" s="3"/>
      <c r="L48" s="3"/>
      <c r="M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23">
        <v>981</v>
      </c>
      <c r="B49" s="24" t="s">
        <v>738</v>
      </c>
      <c r="C49" s="25">
        <v>27085836.120000001</v>
      </c>
      <c r="D49" s="25">
        <v>4694803.1399999997</v>
      </c>
      <c r="E49" s="25">
        <v>6506134.25</v>
      </c>
      <c r="F49" s="26">
        <v>8255736.8799999999</v>
      </c>
      <c r="G49" t="str">
        <f t="shared" si="0"/>
        <v>0981</v>
      </c>
      <c r="K49" s="3"/>
      <c r="L49" s="3"/>
      <c r="M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23">
        <v>999</v>
      </c>
      <c r="B50" s="24" t="s">
        <v>739</v>
      </c>
      <c r="C50" s="25">
        <v>24725507.960000001</v>
      </c>
      <c r="D50" s="25">
        <v>4127526.5</v>
      </c>
      <c r="E50" s="25">
        <v>7284658.29</v>
      </c>
      <c r="F50" s="26">
        <v>8642591.3699999992</v>
      </c>
      <c r="G50" t="str">
        <f t="shared" si="0"/>
        <v>0999</v>
      </c>
      <c r="K50" s="3"/>
      <c r="L50" s="3"/>
      <c r="M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23">
        <v>1044</v>
      </c>
      <c r="B51" s="24" t="s">
        <v>740</v>
      </c>
      <c r="C51" s="25">
        <v>70217638.75</v>
      </c>
      <c r="D51" s="25">
        <v>8363585.1299999999</v>
      </c>
      <c r="E51" s="25">
        <v>12429526.949999999</v>
      </c>
      <c r="F51" s="26">
        <v>13881722.939999999</v>
      </c>
      <c r="G51" t="str">
        <f t="shared" si="0"/>
        <v>1044</v>
      </c>
      <c r="K51" s="3"/>
      <c r="L51" s="3"/>
      <c r="M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23">
        <v>1053</v>
      </c>
      <c r="B52" s="24" t="s">
        <v>741</v>
      </c>
      <c r="C52" s="25">
        <v>233974721.31</v>
      </c>
      <c r="D52" s="25">
        <v>38459461.920000002</v>
      </c>
      <c r="E52" s="25">
        <v>39377268.729999997</v>
      </c>
      <c r="F52" s="26">
        <v>45599732.979999997</v>
      </c>
      <c r="G52" t="str">
        <f t="shared" si="0"/>
        <v>1053</v>
      </c>
      <c r="K52" s="3"/>
      <c r="L52" s="3"/>
      <c r="M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23">
        <v>1062</v>
      </c>
      <c r="B53" s="24" t="s">
        <v>742</v>
      </c>
      <c r="C53" s="25">
        <v>17585750.57</v>
      </c>
      <c r="D53" s="25">
        <v>3448615.59</v>
      </c>
      <c r="E53" s="25">
        <v>5140518.5599999996</v>
      </c>
      <c r="F53" s="26">
        <v>5621002.6100000003</v>
      </c>
      <c r="G53" t="str">
        <f t="shared" si="0"/>
        <v>1062</v>
      </c>
      <c r="K53" s="3"/>
      <c r="L53" s="3"/>
      <c r="M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23">
        <v>1071</v>
      </c>
      <c r="B54" s="24" t="s">
        <v>743</v>
      </c>
      <c r="C54" s="25">
        <v>16865020.399999999</v>
      </c>
      <c r="D54" s="25">
        <v>2169868.9700000002</v>
      </c>
      <c r="E54" s="25">
        <v>5547792.3899999997</v>
      </c>
      <c r="F54" s="26">
        <v>5957414.1299999999</v>
      </c>
      <c r="G54" t="str">
        <f t="shared" si="0"/>
        <v>1071</v>
      </c>
      <c r="K54" s="3"/>
      <c r="L54" s="3"/>
      <c r="M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23">
        <v>1079</v>
      </c>
      <c r="B55" s="24" t="s">
        <v>744</v>
      </c>
      <c r="C55" s="25">
        <v>13758849.800000001</v>
      </c>
      <c r="D55" s="25">
        <v>5270700.8600000003</v>
      </c>
      <c r="E55" s="25">
        <v>3464656.04</v>
      </c>
      <c r="F55" s="26">
        <v>4142019.93</v>
      </c>
      <c r="G55" t="str">
        <f t="shared" si="0"/>
        <v>1079</v>
      </c>
      <c r="K55" s="3"/>
      <c r="L55" s="3"/>
      <c r="M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23">
        <v>1080</v>
      </c>
      <c r="B56" s="24" t="s">
        <v>745</v>
      </c>
      <c r="C56" s="25">
        <v>6543273.1799999997</v>
      </c>
      <c r="D56" s="25">
        <v>1053258.04</v>
      </c>
      <c r="E56" s="25">
        <v>1160246.53</v>
      </c>
      <c r="F56" s="26">
        <v>1451306.14</v>
      </c>
      <c r="G56" t="str">
        <f t="shared" si="0"/>
        <v>1080</v>
      </c>
      <c r="K56" s="3"/>
      <c r="L56" s="3"/>
      <c r="M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23">
        <v>1082</v>
      </c>
      <c r="B57" s="24" t="s">
        <v>746</v>
      </c>
      <c r="C57" s="25">
        <v>21639917.510000002</v>
      </c>
      <c r="D57" s="25">
        <v>4353981.3899999997</v>
      </c>
      <c r="E57" s="25">
        <v>2319872.2599999998</v>
      </c>
      <c r="F57" s="26">
        <v>2338025.7000000002</v>
      </c>
      <c r="G57" t="str">
        <f t="shared" si="0"/>
        <v>1082</v>
      </c>
      <c r="K57" s="3"/>
      <c r="L57" s="3"/>
      <c r="M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23">
        <v>1089</v>
      </c>
      <c r="B58" s="24" t="s">
        <v>747</v>
      </c>
      <c r="C58" s="25">
        <v>6234779.2300000004</v>
      </c>
      <c r="D58" s="25">
        <v>1306887.27</v>
      </c>
      <c r="E58" s="25">
        <v>2248154.23</v>
      </c>
      <c r="F58" s="26">
        <v>2645243.48</v>
      </c>
      <c r="G58" t="str">
        <f t="shared" si="0"/>
        <v>1089</v>
      </c>
      <c r="K58" s="3"/>
      <c r="L58" s="3"/>
      <c r="M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23">
        <v>1093</v>
      </c>
      <c r="B59" s="24" t="s">
        <v>748</v>
      </c>
      <c r="C59" s="25">
        <v>10380688.18</v>
      </c>
      <c r="D59" s="25">
        <v>2837758.94</v>
      </c>
      <c r="E59" s="25">
        <v>2727240.96</v>
      </c>
      <c r="F59" s="26">
        <v>3135302.16</v>
      </c>
      <c r="G59" t="str">
        <f t="shared" si="0"/>
        <v>1093</v>
      </c>
      <c r="K59" s="3"/>
      <c r="L59" s="3"/>
      <c r="M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23">
        <v>1095</v>
      </c>
      <c r="B60" s="24" t="s">
        <v>749</v>
      </c>
      <c r="C60" s="25">
        <v>10394129.49</v>
      </c>
      <c r="D60" s="25">
        <v>1437369.53</v>
      </c>
      <c r="E60" s="25">
        <v>2739202.2</v>
      </c>
      <c r="F60" s="26">
        <v>3045357.47</v>
      </c>
      <c r="G60" t="str">
        <f t="shared" si="0"/>
        <v>1095</v>
      </c>
      <c r="K60" s="3"/>
      <c r="L60" s="3"/>
      <c r="M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23">
        <v>1107</v>
      </c>
      <c r="B61" s="24" t="s">
        <v>750</v>
      </c>
      <c r="C61" s="25">
        <v>17750924.870000001</v>
      </c>
      <c r="D61" s="25">
        <v>3301521.16</v>
      </c>
      <c r="E61" s="25">
        <v>2195540.56</v>
      </c>
      <c r="F61" s="26">
        <v>2798727.08</v>
      </c>
      <c r="G61" t="str">
        <f t="shared" si="0"/>
        <v>1107</v>
      </c>
      <c r="K61" s="3"/>
      <c r="L61" s="3"/>
      <c r="M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23">
        <v>1116</v>
      </c>
      <c r="B62" s="24" t="s">
        <v>751</v>
      </c>
      <c r="C62" s="25">
        <v>22104246.66</v>
      </c>
      <c r="D62" s="25">
        <v>2984083.94</v>
      </c>
      <c r="E62" s="25">
        <v>3552344.87</v>
      </c>
      <c r="F62" s="26">
        <v>4217759.28</v>
      </c>
      <c r="G62" t="str">
        <f t="shared" si="0"/>
        <v>1116</v>
      </c>
      <c r="K62" s="3"/>
      <c r="L62" s="3"/>
      <c r="M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23">
        <v>1134</v>
      </c>
      <c r="B63" s="24" t="s">
        <v>752</v>
      </c>
      <c r="C63" s="25">
        <v>4109449</v>
      </c>
      <c r="D63" s="25">
        <v>950347.86</v>
      </c>
      <c r="E63" s="25">
        <v>1839122.4</v>
      </c>
      <c r="F63" s="26">
        <v>1902831.14</v>
      </c>
      <c r="G63" t="str">
        <f t="shared" si="0"/>
        <v>1134</v>
      </c>
      <c r="K63" s="3"/>
      <c r="L63" s="3"/>
      <c r="M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23">
        <v>1152</v>
      </c>
      <c r="B64" s="24" t="s">
        <v>753</v>
      </c>
      <c r="C64" s="25">
        <v>14620082.58</v>
      </c>
      <c r="D64" s="25">
        <v>2774309.75</v>
      </c>
      <c r="E64" s="25">
        <v>2972364.72</v>
      </c>
      <c r="F64" s="26">
        <v>3240637.97</v>
      </c>
      <c r="G64" t="str">
        <f t="shared" si="0"/>
        <v>1152</v>
      </c>
      <c r="K64" s="3"/>
      <c r="L64" s="3"/>
      <c r="M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23">
        <v>1197</v>
      </c>
      <c r="B65" s="24" t="s">
        <v>754</v>
      </c>
      <c r="C65" s="25">
        <v>14365729.890000001</v>
      </c>
      <c r="D65" s="25">
        <v>2742087.46</v>
      </c>
      <c r="E65" s="25">
        <v>2129370.67</v>
      </c>
      <c r="F65" s="26">
        <v>2845049.9</v>
      </c>
      <c r="G65" t="str">
        <f t="shared" si="0"/>
        <v>1197</v>
      </c>
      <c r="K65" s="3"/>
      <c r="L65" s="3"/>
      <c r="M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23">
        <v>1206</v>
      </c>
      <c r="B66" s="24" t="s">
        <v>755</v>
      </c>
      <c r="C66" s="25">
        <v>14594099.939999999</v>
      </c>
      <c r="D66" s="25">
        <v>1620723.66</v>
      </c>
      <c r="E66" s="25">
        <v>2298017.6</v>
      </c>
      <c r="F66" s="26">
        <v>2995753.78</v>
      </c>
      <c r="G66" t="str">
        <f t="shared" si="0"/>
        <v>1206</v>
      </c>
      <c r="K66" s="3"/>
      <c r="L66" s="3"/>
      <c r="M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23">
        <v>1211</v>
      </c>
      <c r="B67" s="24" t="s">
        <v>756</v>
      </c>
      <c r="C67" s="25">
        <v>20436675.379999999</v>
      </c>
      <c r="D67" s="25">
        <v>3039627.63</v>
      </c>
      <c r="E67" s="25">
        <v>1855480.49</v>
      </c>
      <c r="F67" s="26">
        <v>2172605.94</v>
      </c>
      <c r="G67" t="str">
        <f t="shared" si="0"/>
        <v>1211</v>
      </c>
      <c r="K67" s="3"/>
      <c r="L67" s="3"/>
      <c r="M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23">
        <v>1215</v>
      </c>
      <c r="B68" s="24" t="s">
        <v>757</v>
      </c>
      <c r="C68" s="25">
        <v>4415092.6100000003</v>
      </c>
      <c r="D68" s="25">
        <v>709663.77</v>
      </c>
      <c r="E68" s="25">
        <v>692102.36</v>
      </c>
      <c r="F68" s="26">
        <v>760762.23</v>
      </c>
      <c r="G68" t="str">
        <f t="shared" si="0"/>
        <v>1215</v>
      </c>
      <c r="K68" s="3"/>
      <c r="L68" s="3"/>
      <c r="M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23">
        <v>1218</v>
      </c>
      <c r="B69" s="24" t="s">
        <v>758</v>
      </c>
      <c r="C69" s="25">
        <v>4172738.99</v>
      </c>
      <c r="D69" s="25">
        <v>631635.84</v>
      </c>
      <c r="E69" s="25">
        <v>1626034.02</v>
      </c>
      <c r="F69" s="26">
        <v>1716022.24</v>
      </c>
      <c r="G69" t="str">
        <f t="shared" ref="G69:G132" si="1">TEXT(A69,"0000")</f>
        <v>1218</v>
      </c>
      <c r="K69" s="3"/>
      <c r="L69" s="3"/>
      <c r="M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23">
        <v>1221</v>
      </c>
      <c r="B70" s="24" t="s">
        <v>759</v>
      </c>
      <c r="C70" s="25">
        <v>41176958.890000001</v>
      </c>
      <c r="D70" s="25">
        <v>4353589.75</v>
      </c>
      <c r="E70" s="25">
        <v>2881127.52</v>
      </c>
      <c r="F70" s="26">
        <v>3363798</v>
      </c>
      <c r="G70" t="str">
        <f t="shared" si="1"/>
        <v>1221</v>
      </c>
      <c r="K70" s="3"/>
      <c r="L70" s="3"/>
      <c r="M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23">
        <v>1233</v>
      </c>
      <c r="B71" s="24" t="s">
        <v>760</v>
      </c>
      <c r="C71" s="25">
        <v>18176110.739999998</v>
      </c>
      <c r="D71" s="25">
        <v>4372153.2300000004</v>
      </c>
      <c r="E71" s="25">
        <v>4309563.5199999996</v>
      </c>
      <c r="F71" s="26">
        <v>5051901.18</v>
      </c>
      <c r="G71" t="str">
        <f t="shared" si="1"/>
        <v>1233</v>
      </c>
      <c r="K71" s="3"/>
      <c r="L71" s="3"/>
      <c r="M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23">
        <v>1278</v>
      </c>
      <c r="B72" s="24" t="s">
        <v>761</v>
      </c>
      <c r="C72" s="25">
        <v>54456516.82</v>
      </c>
      <c r="D72" s="25">
        <v>9637090.9299999997</v>
      </c>
      <c r="E72" s="25">
        <v>9736878.4900000002</v>
      </c>
      <c r="F72" s="26">
        <v>10852321.310000001</v>
      </c>
      <c r="G72" t="str">
        <f t="shared" si="1"/>
        <v>1278</v>
      </c>
      <c r="K72" s="3"/>
      <c r="L72" s="3"/>
      <c r="M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23">
        <v>1332</v>
      </c>
      <c r="B73" s="24" t="s">
        <v>762</v>
      </c>
      <c r="C73" s="25">
        <v>11494476.560000001</v>
      </c>
      <c r="D73" s="25">
        <v>1499495.35</v>
      </c>
      <c r="E73" s="25">
        <v>42039.76</v>
      </c>
      <c r="F73" s="26">
        <v>603612.49</v>
      </c>
      <c r="G73" t="str">
        <f t="shared" si="1"/>
        <v>1332</v>
      </c>
      <c r="K73" s="3"/>
      <c r="L73" s="3"/>
      <c r="M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23">
        <v>1337</v>
      </c>
      <c r="B74" s="24" t="s">
        <v>763</v>
      </c>
      <c r="C74" s="25">
        <v>75466834.189999998</v>
      </c>
      <c r="D74" s="25">
        <v>11860608.789999999</v>
      </c>
      <c r="E74" s="25">
        <v>8872175.1099999994</v>
      </c>
      <c r="F74" s="26">
        <v>9206350.3300000001</v>
      </c>
      <c r="G74" t="str">
        <f t="shared" si="1"/>
        <v>1337</v>
      </c>
      <c r="K74" s="3"/>
      <c r="L74" s="3"/>
      <c r="M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23">
        <v>1350</v>
      </c>
      <c r="B75" s="24" t="s">
        <v>764</v>
      </c>
      <c r="C75" s="25">
        <v>6185647.8700000001</v>
      </c>
      <c r="D75" s="25">
        <v>701008.57</v>
      </c>
      <c r="E75" s="25">
        <v>2144700.54</v>
      </c>
      <c r="F75" s="26">
        <v>2239320.98</v>
      </c>
      <c r="G75" t="str">
        <f t="shared" si="1"/>
        <v>1350</v>
      </c>
      <c r="K75" s="3"/>
      <c r="L75" s="3"/>
      <c r="M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23">
        <v>1359</v>
      </c>
      <c r="B76" s="24" t="s">
        <v>765</v>
      </c>
      <c r="C76" s="25">
        <v>7041403.2400000002</v>
      </c>
      <c r="D76" s="25">
        <v>951924.61</v>
      </c>
      <c r="E76" s="25">
        <v>540113.93999999994</v>
      </c>
      <c r="F76" s="26">
        <v>634151.23</v>
      </c>
      <c r="G76" t="str">
        <f t="shared" si="1"/>
        <v>1359</v>
      </c>
      <c r="K76" s="3"/>
      <c r="L76" s="3"/>
      <c r="M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23">
        <v>1368</v>
      </c>
      <c r="B77" s="24" t="s">
        <v>766</v>
      </c>
      <c r="C77" s="25">
        <v>11130299.93</v>
      </c>
      <c r="D77" s="25">
        <v>1772504.97</v>
      </c>
      <c r="E77" s="25">
        <v>4565508.0599999996</v>
      </c>
      <c r="F77" s="26">
        <v>5208555.66</v>
      </c>
      <c r="G77" t="str">
        <f t="shared" si="1"/>
        <v>1368</v>
      </c>
      <c r="K77" s="3"/>
      <c r="L77" s="3"/>
      <c r="M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23">
        <v>1413</v>
      </c>
      <c r="B78" s="24" t="s">
        <v>767</v>
      </c>
      <c r="C78" s="25">
        <v>5592018.1699999999</v>
      </c>
      <c r="D78" s="25">
        <v>896120.78</v>
      </c>
      <c r="E78" s="25">
        <v>2861912.96</v>
      </c>
      <c r="F78" s="26">
        <v>3296700.15</v>
      </c>
      <c r="G78" t="str">
        <f t="shared" si="1"/>
        <v>1413</v>
      </c>
      <c r="K78" s="3"/>
      <c r="L78" s="3"/>
      <c r="M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23">
        <v>1431</v>
      </c>
      <c r="B79" s="24" t="s">
        <v>768</v>
      </c>
      <c r="C79" s="25">
        <v>6664448.9500000002</v>
      </c>
      <c r="D79" s="25">
        <v>1792587.66</v>
      </c>
      <c r="E79" s="25">
        <v>1902129.72</v>
      </c>
      <c r="F79" s="26">
        <v>1913019.82</v>
      </c>
      <c r="G79" t="str">
        <f t="shared" si="1"/>
        <v>1431</v>
      </c>
      <c r="K79" s="3"/>
      <c r="L79" s="3"/>
      <c r="M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23">
        <v>1476</v>
      </c>
      <c r="B80" s="24" t="s">
        <v>769</v>
      </c>
      <c r="C80" s="25">
        <v>137919452.09</v>
      </c>
      <c r="D80" s="25">
        <v>18498037.66</v>
      </c>
      <c r="E80" s="25">
        <v>6462286.4500000002</v>
      </c>
      <c r="F80" s="26">
        <v>9961156.7100000009</v>
      </c>
      <c r="G80" t="str">
        <f t="shared" si="1"/>
        <v>1476</v>
      </c>
      <c r="K80" s="3"/>
      <c r="L80" s="3"/>
      <c r="M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23">
        <v>1503</v>
      </c>
      <c r="B81" s="24" t="s">
        <v>770</v>
      </c>
      <c r="C81" s="25">
        <v>18528702.420000002</v>
      </c>
      <c r="D81" s="25">
        <v>2647147.42</v>
      </c>
      <c r="E81" s="25">
        <v>5857452.8499999996</v>
      </c>
      <c r="F81" s="26">
        <v>6406624.5700000003</v>
      </c>
      <c r="G81" t="str">
        <f t="shared" si="1"/>
        <v>1503</v>
      </c>
      <c r="K81" s="3"/>
      <c r="L81" s="3"/>
      <c r="M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23">
        <v>1576</v>
      </c>
      <c r="B82" s="24" t="s">
        <v>771</v>
      </c>
      <c r="C82" s="25">
        <v>46173865.549999997</v>
      </c>
      <c r="D82" s="25">
        <v>6101198.2800000003</v>
      </c>
      <c r="E82" s="25">
        <v>8939302.7699999996</v>
      </c>
      <c r="F82" s="26">
        <v>11101179.99</v>
      </c>
      <c r="G82" t="str">
        <f t="shared" si="1"/>
        <v>1576</v>
      </c>
      <c r="K82" s="3"/>
      <c r="L82" s="3"/>
      <c r="M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23">
        <v>1602</v>
      </c>
      <c r="B83" s="24" t="s">
        <v>772</v>
      </c>
      <c r="C83" s="25">
        <v>8574534.8300000001</v>
      </c>
      <c r="D83" s="25">
        <v>3124237.82</v>
      </c>
      <c r="E83" s="25">
        <v>1420139.37</v>
      </c>
      <c r="F83" s="26">
        <v>1908307.77</v>
      </c>
      <c r="G83" t="str">
        <f t="shared" si="1"/>
        <v>1602</v>
      </c>
      <c r="K83" s="3"/>
      <c r="L83" s="3"/>
      <c r="M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23">
        <v>1611</v>
      </c>
      <c r="B84" s="24" t="s">
        <v>773</v>
      </c>
      <c r="C84" s="25">
        <v>225432846.81</v>
      </c>
      <c r="D84" s="25">
        <v>58643857.68</v>
      </c>
      <c r="E84" s="25">
        <v>52915083.890000001</v>
      </c>
      <c r="F84" s="26">
        <v>57840585.850000001</v>
      </c>
      <c r="G84" t="str">
        <f t="shared" si="1"/>
        <v>1611</v>
      </c>
      <c r="K84" s="3"/>
      <c r="L84" s="3"/>
      <c r="M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23">
        <v>1619</v>
      </c>
      <c r="B85" s="24" t="s">
        <v>774</v>
      </c>
      <c r="C85" s="25">
        <v>19344893.850000001</v>
      </c>
      <c r="D85" s="25">
        <v>5482501.6399999997</v>
      </c>
      <c r="E85" s="25">
        <v>2110911.21</v>
      </c>
      <c r="F85" s="26">
        <v>2513249.2400000002</v>
      </c>
      <c r="G85" t="str">
        <f t="shared" si="1"/>
        <v>1619</v>
      </c>
      <c r="K85" s="3"/>
      <c r="L85" s="3"/>
      <c r="M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23">
        <v>1638</v>
      </c>
      <c r="B86" s="24" t="s">
        <v>775</v>
      </c>
      <c r="C86" s="25">
        <v>23396051.329999998</v>
      </c>
      <c r="D86" s="25">
        <v>4841958.79</v>
      </c>
      <c r="E86" s="25">
        <v>3110714.8</v>
      </c>
      <c r="F86" s="26">
        <v>3703249.55</v>
      </c>
      <c r="G86" t="str">
        <f t="shared" si="1"/>
        <v>1638</v>
      </c>
      <c r="K86" s="3"/>
      <c r="L86" s="3"/>
      <c r="M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23">
        <v>1675</v>
      </c>
      <c r="B87" s="24" t="s">
        <v>776</v>
      </c>
      <c r="C87" s="25">
        <v>3391941.04</v>
      </c>
      <c r="D87" s="25">
        <v>898025.55</v>
      </c>
      <c r="E87" s="25">
        <v>821536.57</v>
      </c>
      <c r="F87" s="26">
        <v>897749.18</v>
      </c>
      <c r="G87" t="str">
        <f t="shared" si="1"/>
        <v>1675</v>
      </c>
      <c r="K87" s="3"/>
      <c r="L87" s="3"/>
      <c r="M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23">
        <v>1701</v>
      </c>
      <c r="B88" s="24" t="s">
        <v>777</v>
      </c>
      <c r="C88" s="25">
        <v>29289792.219999999</v>
      </c>
      <c r="D88" s="25">
        <v>3778852.23</v>
      </c>
      <c r="E88" s="25">
        <v>8555651.0299999993</v>
      </c>
      <c r="F88" s="26">
        <v>9550341.8000000007</v>
      </c>
      <c r="G88" t="str">
        <f t="shared" si="1"/>
        <v>1701</v>
      </c>
      <c r="K88" s="3"/>
      <c r="L88" s="3"/>
      <c r="M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23">
        <v>1719</v>
      </c>
      <c r="B89" s="24" t="s">
        <v>778</v>
      </c>
      <c r="C89" s="25">
        <v>11076623.02</v>
      </c>
      <c r="D89" s="25">
        <v>1521154.59</v>
      </c>
      <c r="E89" s="25">
        <v>1639284.87</v>
      </c>
      <c r="F89" s="26">
        <v>2495623.65</v>
      </c>
      <c r="G89" t="str">
        <f t="shared" si="1"/>
        <v>1719</v>
      </c>
      <c r="K89" s="3"/>
      <c r="L89" s="3"/>
      <c r="M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23">
        <v>1737</v>
      </c>
      <c r="B90" s="24" t="s">
        <v>779</v>
      </c>
      <c r="C90" s="25">
        <v>485453817.19999999</v>
      </c>
      <c r="D90" s="25">
        <v>106501058.73999999</v>
      </c>
      <c r="E90" s="25">
        <v>164462395.55000001</v>
      </c>
      <c r="F90" s="26">
        <v>181511301.71000001</v>
      </c>
      <c r="G90" t="str">
        <f t="shared" si="1"/>
        <v>1737</v>
      </c>
      <c r="K90" s="3"/>
      <c r="L90" s="3"/>
      <c r="M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23">
        <v>1782</v>
      </c>
      <c r="B91" s="24" t="s">
        <v>780</v>
      </c>
      <c r="C91" s="25">
        <v>2159606.83</v>
      </c>
      <c r="D91" s="25">
        <v>734054.38</v>
      </c>
      <c r="E91" s="25">
        <v>536530.43000000005</v>
      </c>
      <c r="F91" s="26">
        <v>559490.41</v>
      </c>
      <c r="G91" t="str">
        <f t="shared" si="1"/>
        <v>1782</v>
      </c>
      <c r="K91" s="3"/>
      <c r="L91" s="3"/>
      <c r="M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23">
        <v>1791</v>
      </c>
      <c r="B92" s="24" t="s">
        <v>781</v>
      </c>
      <c r="C92" s="25">
        <v>12018468.800000001</v>
      </c>
      <c r="D92" s="25">
        <v>1604358.63</v>
      </c>
      <c r="E92" s="25">
        <v>1432503.6</v>
      </c>
      <c r="F92" s="26">
        <v>1727095.66</v>
      </c>
      <c r="G92" t="str">
        <f t="shared" si="1"/>
        <v>1791</v>
      </c>
      <c r="K92" s="3"/>
      <c r="L92" s="3"/>
      <c r="M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23">
        <v>1863</v>
      </c>
      <c r="B93" s="24" t="s">
        <v>782</v>
      </c>
      <c r="C93" s="25">
        <v>141658575.81999999</v>
      </c>
      <c r="D93" s="25">
        <v>13938804.220000001</v>
      </c>
      <c r="E93" s="25">
        <v>21314572.420000002</v>
      </c>
      <c r="F93" s="26">
        <v>23355130.48</v>
      </c>
      <c r="G93" t="str">
        <f t="shared" si="1"/>
        <v>1863</v>
      </c>
      <c r="K93" s="3"/>
      <c r="L93" s="3"/>
      <c r="M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23">
        <v>1908</v>
      </c>
      <c r="B94" s="24" t="s">
        <v>783</v>
      </c>
      <c r="C94" s="25">
        <v>5552678.4699999997</v>
      </c>
      <c r="D94" s="25">
        <v>1442797.45</v>
      </c>
      <c r="E94" s="25">
        <v>1634518.86</v>
      </c>
      <c r="F94" s="26">
        <v>1843145.22</v>
      </c>
      <c r="G94" t="str">
        <f t="shared" si="1"/>
        <v>1908</v>
      </c>
      <c r="K94" s="3"/>
      <c r="L94" s="3"/>
      <c r="M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23">
        <v>1917</v>
      </c>
      <c r="B95" s="24" t="s">
        <v>784</v>
      </c>
      <c r="C95" s="25">
        <v>5604488.5999999996</v>
      </c>
      <c r="D95" s="25">
        <v>1066550.92</v>
      </c>
      <c r="E95" s="25">
        <v>2626985.4500000002</v>
      </c>
      <c r="F95" s="26">
        <v>2822815.8</v>
      </c>
      <c r="G95" t="str">
        <f t="shared" si="1"/>
        <v>1917</v>
      </c>
      <c r="K95" s="3"/>
      <c r="L95" s="3"/>
      <c r="M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23">
        <v>1926</v>
      </c>
      <c r="B96" s="24" t="s">
        <v>785</v>
      </c>
      <c r="C96" s="25">
        <v>9056363.9700000007</v>
      </c>
      <c r="D96" s="25">
        <v>2884708.66</v>
      </c>
      <c r="E96" s="25">
        <v>1375491.48</v>
      </c>
      <c r="F96" s="26">
        <v>1860122.16</v>
      </c>
      <c r="G96" t="str">
        <f t="shared" si="1"/>
        <v>1926</v>
      </c>
      <c r="K96" s="3"/>
      <c r="L96" s="3"/>
      <c r="M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23">
        <v>1944</v>
      </c>
      <c r="B97" s="24" t="s">
        <v>786</v>
      </c>
      <c r="C97" s="25">
        <v>13272007.949999999</v>
      </c>
      <c r="D97" s="25">
        <v>1953048.92</v>
      </c>
      <c r="E97" s="25">
        <v>5848921.96</v>
      </c>
      <c r="F97" s="26">
        <v>6566727.1100000003</v>
      </c>
      <c r="G97" t="str">
        <f t="shared" si="1"/>
        <v>1944</v>
      </c>
      <c r="K97" s="3"/>
      <c r="L97" s="3"/>
      <c r="M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23">
        <v>1953</v>
      </c>
      <c r="B98" s="24" t="s">
        <v>787</v>
      </c>
      <c r="C98" s="25">
        <v>8221924.7400000002</v>
      </c>
      <c r="D98" s="25">
        <v>1360067.55</v>
      </c>
      <c r="E98" s="25">
        <v>1936366.53</v>
      </c>
      <c r="F98" s="26">
        <v>1991353.72</v>
      </c>
      <c r="G98" t="str">
        <f t="shared" si="1"/>
        <v>1953</v>
      </c>
      <c r="K98" s="3"/>
      <c r="L98" s="3"/>
      <c r="M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23">
        <v>1963</v>
      </c>
      <c r="B99" s="24" t="s">
        <v>788</v>
      </c>
      <c r="C99" s="25">
        <v>8573603.3699999992</v>
      </c>
      <c r="D99" s="25">
        <v>1660699.04</v>
      </c>
      <c r="E99" s="25">
        <v>785323.39</v>
      </c>
      <c r="F99" s="26">
        <v>980468.69</v>
      </c>
      <c r="G99" t="str">
        <f t="shared" si="1"/>
        <v>1963</v>
      </c>
      <c r="K99" s="3"/>
      <c r="L99" s="3"/>
      <c r="M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23">
        <v>1965</v>
      </c>
      <c r="B100" s="24" t="s">
        <v>789</v>
      </c>
      <c r="C100" s="25">
        <v>8797326.75</v>
      </c>
      <c r="D100" s="25">
        <v>2408934.73</v>
      </c>
      <c r="E100" s="25">
        <v>2298512.06</v>
      </c>
      <c r="F100" s="26">
        <v>2410731.38</v>
      </c>
      <c r="G100" t="str">
        <f t="shared" si="1"/>
        <v>1965</v>
      </c>
      <c r="K100" s="3"/>
      <c r="L100" s="3"/>
      <c r="M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23">
        <v>1968</v>
      </c>
      <c r="B101" s="24" t="s">
        <v>790</v>
      </c>
      <c r="C101" s="25">
        <v>9588720.9900000002</v>
      </c>
      <c r="D101" s="25">
        <v>2602902.29</v>
      </c>
      <c r="E101" s="25">
        <v>2977453.61</v>
      </c>
      <c r="F101" s="26">
        <v>3725364.6</v>
      </c>
      <c r="G101" t="str">
        <f t="shared" si="1"/>
        <v>1968</v>
      </c>
      <c r="K101" s="3"/>
      <c r="L101" s="3"/>
      <c r="M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23">
        <v>1970</v>
      </c>
      <c r="B102" s="24" t="s">
        <v>791</v>
      </c>
      <c r="C102" s="25">
        <v>7870001.7000000002</v>
      </c>
      <c r="D102" s="25">
        <v>2232654.81</v>
      </c>
      <c r="E102" s="25">
        <v>2407793.0699999998</v>
      </c>
      <c r="F102" s="26">
        <v>2469227.86</v>
      </c>
      <c r="G102" t="str">
        <f t="shared" si="1"/>
        <v>1970</v>
      </c>
      <c r="K102" s="3"/>
      <c r="L102" s="3"/>
      <c r="M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23">
        <v>1972</v>
      </c>
      <c r="B103" s="24" t="s">
        <v>792</v>
      </c>
      <c r="C103" s="25">
        <v>5093415.49</v>
      </c>
      <c r="D103" s="25">
        <v>819178.22</v>
      </c>
      <c r="E103" s="25">
        <v>510208.28</v>
      </c>
      <c r="F103" s="26">
        <v>974198.11</v>
      </c>
      <c r="G103" t="str">
        <f t="shared" si="1"/>
        <v>1972</v>
      </c>
      <c r="K103" s="3"/>
      <c r="L103" s="3"/>
      <c r="M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23">
        <v>1975</v>
      </c>
      <c r="B104" s="24" t="s">
        <v>793</v>
      </c>
      <c r="C104" s="25">
        <v>6378147.04</v>
      </c>
      <c r="D104" s="25">
        <v>915409.49</v>
      </c>
      <c r="E104" s="25">
        <v>784913.58</v>
      </c>
      <c r="F104" s="26">
        <v>897150.71</v>
      </c>
      <c r="G104" t="str">
        <f t="shared" si="1"/>
        <v>1975</v>
      </c>
      <c r="K104" s="3"/>
      <c r="L104" s="3"/>
      <c r="M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23">
        <v>1989</v>
      </c>
      <c r="B105" s="24" t="s">
        <v>794</v>
      </c>
      <c r="C105" s="25">
        <v>6611851.3099999996</v>
      </c>
      <c r="D105" s="25">
        <v>1759928.65</v>
      </c>
      <c r="E105" s="25">
        <v>2097565.21</v>
      </c>
      <c r="F105" s="26">
        <v>2178416.2599999998</v>
      </c>
      <c r="G105" t="str">
        <f t="shared" si="1"/>
        <v>1989</v>
      </c>
      <c r="K105" s="3"/>
      <c r="L105" s="3"/>
      <c r="M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23">
        <v>2007</v>
      </c>
      <c r="B106" s="24" t="s">
        <v>795</v>
      </c>
      <c r="C106" s="25">
        <v>9545904.1999999993</v>
      </c>
      <c r="D106" s="25">
        <v>2477764.66</v>
      </c>
      <c r="E106" s="25">
        <v>2945634.95</v>
      </c>
      <c r="F106" s="26">
        <v>3595456.88</v>
      </c>
      <c r="G106" t="str">
        <f t="shared" si="1"/>
        <v>2007</v>
      </c>
      <c r="K106" s="3"/>
      <c r="L106" s="3"/>
      <c r="M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23">
        <v>2088</v>
      </c>
      <c r="B107" s="24" t="s">
        <v>796</v>
      </c>
      <c r="C107" s="25">
        <v>9643444.2699999996</v>
      </c>
      <c r="D107" s="25">
        <v>1678856.67</v>
      </c>
      <c r="E107" s="25">
        <v>3548169.55</v>
      </c>
      <c r="F107" s="26">
        <v>3774969.83</v>
      </c>
      <c r="G107" t="str">
        <f t="shared" si="1"/>
        <v>2088</v>
      </c>
      <c r="K107" s="3"/>
      <c r="L107" s="3"/>
      <c r="M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23">
        <v>2097</v>
      </c>
      <c r="B108" s="24" t="s">
        <v>797</v>
      </c>
      <c r="C108" s="25">
        <v>6924345.5599999996</v>
      </c>
      <c r="D108" s="25">
        <v>1566341.04</v>
      </c>
      <c r="E108" s="25">
        <v>2727253.68</v>
      </c>
      <c r="F108" s="26">
        <v>3107768.81</v>
      </c>
      <c r="G108" t="str">
        <f t="shared" si="1"/>
        <v>2097</v>
      </c>
      <c r="K108" s="3"/>
      <c r="L108" s="3"/>
      <c r="M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23">
        <v>2113</v>
      </c>
      <c r="B109" s="24" t="s">
        <v>798</v>
      </c>
      <c r="C109" s="25">
        <v>3952409.89</v>
      </c>
      <c r="D109" s="25">
        <v>1599090.94</v>
      </c>
      <c r="E109" s="25">
        <v>578531.19999999995</v>
      </c>
      <c r="F109" s="26">
        <v>681991.33</v>
      </c>
      <c r="G109" t="str">
        <f t="shared" si="1"/>
        <v>2113</v>
      </c>
      <c r="K109" s="3"/>
      <c r="L109" s="3"/>
      <c r="M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23">
        <v>2124</v>
      </c>
      <c r="B110" s="24" t="s">
        <v>1020</v>
      </c>
      <c r="C110" s="25">
        <v>16903365.829999998</v>
      </c>
      <c r="D110" s="25">
        <v>2249926.13</v>
      </c>
      <c r="E110" s="25">
        <v>2665087.96</v>
      </c>
      <c r="F110" s="26">
        <v>3347286.52</v>
      </c>
      <c r="G110" t="str">
        <f t="shared" si="1"/>
        <v>2124</v>
      </c>
      <c r="K110" s="3"/>
      <c r="L110" s="3"/>
      <c r="M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23">
        <v>2151</v>
      </c>
      <c r="B111" s="24" t="s">
        <v>1021</v>
      </c>
      <c r="C111" s="25">
        <v>6378945</v>
      </c>
      <c r="D111" s="25">
        <v>702234.15</v>
      </c>
      <c r="E111" s="25">
        <v>1767010.2</v>
      </c>
      <c r="F111" s="26">
        <v>1808154.86</v>
      </c>
      <c r="G111" t="str">
        <f t="shared" si="1"/>
        <v>2151</v>
      </c>
      <c r="K111" s="3"/>
      <c r="L111" s="3"/>
      <c r="M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23">
        <v>2169</v>
      </c>
      <c r="B112" s="24" t="s">
        <v>799</v>
      </c>
      <c r="C112" s="25">
        <v>25181567.370000001</v>
      </c>
      <c r="D112" s="25">
        <v>3793208.98</v>
      </c>
      <c r="E112" s="25">
        <v>92975.63</v>
      </c>
      <c r="F112" s="26">
        <v>878028.66</v>
      </c>
      <c r="G112" t="str">
        <f t="shared" si="1"/>
        <v>2169</v>
      </c>
      <c r="K112" s="3"/>
      <c r="L112" s="3"/>
      <c r="M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23">
        <v>2295</v>
      </c>
      <c r="B113" s="24" t="s">
        <v>800</v>
      </c>
      <c r="C113" s="25">
        <v>14962079.42</v>
      </c>
      <c r="D113" s="25">
        <v>2428121.1800000002</v>
      </c>
      <c r="E113" s="25">
        <v>4962260.8899999997</v>
      </c>
      <c r="F113" s="26">
        <v>5209951.67</v>
      </c>
      <c r="G113" t="str">
        <f t="shared" si="1"/>
        <v>2295</v>
      </c>
      <c r="K113" s="3"/>
      <c r="L113" s="3"/>
      <c r="M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23">
        <v>2313</v>
      </c>
      <c r="B114" s="24" t="s">
        <v>801</v>
      </c>
      <c r="C114" s="25">
        <v>49509700.899999999</v>
      </c>
      <c r="D114" s="25">
        <v>5857625.7300000004</v>
      </c>
      <c r="E114" s="25">
        <v>11535559.67</v>
      </c>
      <c r="F114" s="26">
        <v>12181911.529999999</v>
      </c>
      <c r="G114" t="str">
        <f t="shared" si="1"/>
        <v>2313</v>
      </c>
      <c r="K114" s="3"/>
      <c r="L114" s="3"/>
      <c r="M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23">
        <v>2322</v>
      </c>
      <c r="B115" s="24" t="s">
        <v>802</v>
      </c>
      <c r="C115" s="25">
        <v>29966077.960000001</v>
      </c>
      <c r="D115" s="25">
        <v>3772054.78</v>
      </c>
      <c r="E115" s="25">
        <v>5460927.4900000002</v>
      </c>
      <c r="F115" s="26">
        <v>5671846.5300000003</v>
      </c>
      <c r="G115" t="str">
        <f t="shared" si="1"/>
        <v>2322</v>
      </c>
      <c r="K115" s="3"/>
      <c r="L115" s="3"/>
      <c r="M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23">
        <v>2369</v>
      </c>
      <c r="B116" s="24" t="s">
        <v>803</v>
      </c>
      <c r="C116" s="25">
        <v>6892069.5099999998</v>
      </c>
      <c r="D116" s="25">
        <v>1201705.3700000001</v>
      </c>
      <c r="E116" s="25">
        <v>687645.03</v>
      </c>
      <c r="F116" s="26">
        <v>977104.34</v>
      </c>
      <c r="G116" t="str">
        <f t="shared" si="1"/>
        <v>2369</v>
      </c>
      <c r="K116" s="3"/>
      <c r="L116" s="3"/>
      <c r="M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23">
        <v>2376</v>
      </c>
      <c r="B117" s="24" t="s">
        <v>804</v>
      </c>
      <c r="C117" s="25">
        <v>7070349.3600000003</v>
      </c>
      <c r="D117" s="25">
        <v>2283949.86</v>
      </c>
      <c r="E117" s="25">
        <v>4421335.8</v>
      </c>
      <c r="F117" s="26">
        <v>4742811.9000000004</v>
      </c>
      <c r="G117" t="str">
        <f t="shared" si="1"/>
        <v>2376</v>
      </c>
      <c r="K117" s="3"/>
      <c r="L117" s="3"/>
      <c r="M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23">
        <v>2403</v>
      </c>
      <c r="B118" s="24" t="s">
        <v>805</v>
      </c>
      <c r="C118" s="25">
        <v>12445836.66</v>
      </c>
      <c r="D118" s="25">
        <v>2404757.33</v>
      </c>
      <c r="E118" s="25">
        <v>3895941.52</v>
      </c>
      <c r="F118" s="26">
        <v>4763475.93</v>
      </c>
      <c r="G118" t="str">
        <f t="shared" si="1"/>
        <v>2403</v>
      </c>
      <c r="K118" s="3"/>
      <c r="L118" s="3"/>
      <c r="M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23">
        <v>2457</v>
      </c>
      <c r="B119" s="24" t="s">
        <v>806</v>
      </c>
      <c r="C119" s="25">
        <v>6030717.7000000002</v>
      </c>
      <c r="D119" s="25">
        <v>1206955.6000000001</v>
      </c>
      <c r="E119" s="25">
        <v>3155528.64</v>
      </c>
      <c r="F119" s="26">
        <v>3723069.14</v>
      </c>
      <c r="G119" t="str">
        <f t="shared" si="1"/>
        <v>2457</v>
      </c>
      <c r="K119" s="3"/>
      <c r="L119" s="3"/>
      <c r="M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23">
        <v>2466</v>
      </c>
      <c r="B120" s="24" t="s">
        <v>807</v>
      </c>
      <c r="C120" s="25">
        <v>21695126.489999998</v>
      </c>
      <c r="D120" s="25">
        <v>2838086.7</v>
      </c>
      <c r="E120" s="25">
        <v>1033366.54</v>
      </c>
      <c r="F120" s="26">
        <v>1189047.56</v>
      </c>
      <c r="G120" t="str">
        <f t="shared" si="1"/>
        <v>2466</v>
      </c>
      <c r="K120" s="3"/>
      <c r="L120" s="3"/>
      <c r="M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23">
        <v>2493</v>
      </c>
      <c r="B121" s="24" t="s">
        <v>808</v>
      </c>
      <c r="C121" s="25">
        <v>2551593.5699999998</v>
      </c>
      <c r="D121" s="25">
        <v>562171.28</v>
      </c>
      <c r="E121" s="25">
        <v>861060.7</v>
      </c>
      <c r="F121" s="26">
        <v>1002109.83</v>
      </c>
      <c r="G121" t="str">
        <f t="shared" si="1"/>
        <v>2493</v>
      </c>
      <c r="K121" s="3"/>
      <c r="L121" s="3"/>
      <c r="M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23">
        <v>2502</v>
      </c>
      <c r="B122" s="24" t="s">
        <v>809</v>
      </c>
      <c r="C122" s="25">
        <v>8670309.3000000007</v>
      </c>
      <c r="D122" s="25">
        <v>906057.06</v>
      </c>
      <c r="E122" s="25">
        <v>1170422.02</v>
      </c>
      <c r="F122" s="26">
        <v>1562567.61</v>
      </c>
      <c r="G122" t="str">
        <f t="shared" si="1"/>
        <v>2502</v>
      </c>
      <c r="K122" s="3"/>
      <c r="L122" s="3"/>
      <c r="M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23">
        <v>2511</v>
      </c>
      <c r="B123" s="24" t="s">
        <v>810</v>
      </c>
      <c r="C123" s="25">
        <v>26357611.829999998</v>
      </c>
      <c r="D123" s="25">
        <v>2910526.2</v>
      </c>
      <c r="E123" s="25">
        <v>2284721.88</v>
      </c>
      <c r="F123" s="26">
        <v>2847368.41</v>
      </c>
      <c r="G123" t="str">
        <f t="shared" si="1"/>
        <v>2511</v>
      </c>
      <c r="K123" s="3"/>
      <c r="L123" s="3"/>
      <c r="M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23">
        <v>2520</v>
      </c>
      <c r="B124" s="24" t="s">
        <v>811</v>
      </c>
      <c r="C124" s="25">
        <v>5593802.9699999997</v>
      </c>
      <c r="D124" s="25">
        <v>1405167.11</v>
      </c>
      <c r="E124" s="25">
        <v>71365.37</v>
      </c>
      <c r="F124" s="26">
        <v>431236.67</v>
      </c>
      <c r="G124" t="str">
        <f t="shared" si="1"/>
        <v>2520</v>
      </c>
      <c r="K124" s="3"/>
      <c r="L124" s="3"/>
      <c r="M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23">
        <v>2556</v>
      </c>
      <c r="B125" s="24" t="s">
        <v>812</v>
      </c>
      <c r="C125" s="25">
        <v>6125800.6699999999</v>
      </c>
      <c r="D125" s="25">
        <v>1281524</v>
      </c>
      <c r="E125" s="25">
        <v>-940144.56</v>
      </c>
      <c r="F125" s="26">
        <v>-208720.63</v>
      </c>
      <c r="G125" t="str">
        <f t="shared" si="1"/>
        <v>2556</v>
      </c>
      <c r="K125" s="3"/>
      <c r="L125" s="3"/>
      <c r="M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23">
        <v>2673</v>
      </c>
      <c r="B126" s="24" t="s">
        <v>813</v>
      </c>
      <c r="C126" s="25">
        <v>8755969.3599999994</v>
      </c>
      <c r="D126" s="25">
        <v>2468752.2400000002</v>
      </c>
      <c r="E126" s="25">
        <v>6288428.5300000003</v>
      </c>
      <c r="F126" s="26">
        <v>6441683.2800000003</v>
      </c>
      <c r="G126" t="str">
        <f t="shared" si="1"/>
        <v>2673</v>
      </c>
      <c r="K126" s="3"/>
      <c r="L126" s="3"/>
      <c r="M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23">
        <v>2682</v>
      </c>
      <c r="B127" s="24" t="s">
        <v>814</v>
      </c>
      <c r="C127" s="25">
        <v>6561948.9500000002</v>
      </c>
      <c r="D127" s="25">
        <v>3560470.16</v>
      </c>
      <c r="E127" s="25">
        <v>331638.63</v>
      </c>
      <c r="F127" s="26">
        <v>642948.53</v>
      </c>
      <c r="G127" t="str">
        <f t="shared" si="1"/>
        <v>2682</v>
      </c>
      <c r="K127" s="3"/>
      <c r="L127" s="3"/>
      <c r="M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23">
        <v>2709</v>
      </c>
      <c r="B128" s="24" t="s">
        <v>815</v>
      </c>
      <c r="C128" s="25">
        <v>20930568.079999998</v>
      </c>
      <c r="D128" s="25">
        <v>2728355.24</v>
      </c>
      <c r="E128" s="25">
        <v>3503886.84</v>
      </c>
      <c r="F128" s="26">
        <v>3740165.11</v>
      </c>
      <c r="G128" t="str">
        <f t="shared" si="1"/>
        <v>2709</v>
      </c>
      <c r="K128" s="3"/>
      <c r="L128" s="3"/>
      <c r="M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23">
        <v>2718</v>
      </c>
      <c r="B129" s="24" t="s">
        <v>816</v>
      </c>
      <c r="C129" s="25">
        <v>7188171.3200000003</v>
      </c>
      <c r="D129" s="25">
        <v>1068927.8400000001</v>
      </c>
      <c r="E129" s="25">
        <v>1232086.6599999999</v>
      </c>
      <c r="F129" s="26">
        <v>1293529.33</v>
      </c>
      <c r="G129" t="str">
        <f t="shared" si="1"/>
        <v>2718</v>
      </c>
      <c r="K129" s="3"/>
      <c r="L129" s="3"/>
      <c r="M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23">
        <v>2727</v>
      </c>
      <c r="B130" s="24" t="s">
        <v>817</v>
      </c>
      <c r="C130" s="25">
        <v>9504631.25</v>
      </c>
      <c r="D130" s="25">
        <v>1432403.94</v>
      </c>
      <c r="E130" s="25">
        <v>2078232.63</v>
      </c>
      <c r="F130" s="26">
        <v>2381121.2799999998</v>
      </c>
      <c r="G130" t="str">
        <f t="shared" si="1"/>
        <v>2727</v>
      </c>
      <c r="K130" s="3"/>
      <c r="L130" s="3"/>
      <c r="M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23">
        <v>2754</v>
      </c>
      <c r="B131" s="24" t="s">
        <v>818</v>
      </c>
      <c r="C131" s="25">
        <v>7280464.1200000001</v>
      </c>
      <c r="D131" s="25">
        <v>2048882.3</v>
      </c>
      <c r="E131" s="25">
        <v>310976.27</v>
      </c>
      <c r="F131" s="26">
        <v>345797.33</v>
      </c>
      <c r="G131" t="str">
        <f t="shared" si="1"/>
        <v>2754</v>
      </c>
      <c r="K131" s="3"/>
      <c r="L131" s="3"/>
      <c r="M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23">
        <v>2763</v>
      </c>
      <c r="B132" s="24" t="s">
        <v>819</v>
      </c>
      <c r="C132" s="25">
        <v>17268032.129999999</v>
      </c>
      <c r="D132" s="25">
        <v>10155100.51</v>
      </c>
      <c r="E132" s="25">
        <v>1125472.8500000001</v>
      </c>
      <c r="F132" s="26">
        <v>1501396.38</v>
      </c>
      <c r="G132" t="str">
        <f t="shared" si="1"/>
        <v>2763</v>
      </c>
      <c r="K132" s="3"/>
      <c r="L132" s="3"/>
      <c r="M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23">
        <v>2766</v>
      </c>
      <c r="B133" s="24" t="s">
        <v>820</v>
      </c>
      <c r="C133" s="25">
        <v>5145785.92</v>
      </c>
      <c r="D133" s="25">
        <v>704321.74</v>
      </c>
      <c r="E133" s="25">
        <v>209271.97</v>
      </c>
      <c r="F133" s="26">
        <v>377642.6</v>
      </c>
      <c r="G133" t="str">
        <f t="shared" ref="G133:G196" si="2">TEXT(A133,"0000")</f>
        <v>2766</v>
      </c>
      <c r="K133" s="3"/>
      <c r="L133" s="3"/>
      <c r="M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23">
        <v>2772</v>
      </c>
      <c r="B134" s="24" t="s">
        <v>821</v>
      </c>
      <c r="C134" s="25">
        <v>4603726.6100000003</v>
      </c>
      <c r="D134" s="25">
        <v>1182785</v>
      </c>
      <c r="E134" s="25">
        <v>638537.77</v>
      </c>
      <c r="F134" s="26">
        <v>760059.33</v>
      </c>
      <c r="G134" t="str">
        <f t="shared" si="2"/>
        <v>2772</v>
      </c>
      <c r="K134" s="3"/>
      <c r="L134" s="3"/>
      <c r="M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23">
        <v>2781</v>
      </c>
      <c r="B135" s="24" t="s">
        <v>822</v>
      </c>
      <c r="C135" s="25">
        <v>15658599.949999999</v>
      </c>
      <c r="D135" s="25">
        <v>4232512.42</v>
      </c>
      <c r="E135" s="25">
        <v>5478963.9400000004</v>
      </c>
      <c r="F135" s="26">
        <v>5619013.3499999996</v>
      </c>
      <c r="G135" t="str">
        <f t="shared" si="2"/>
        <v>2781</v>
      </c>
      <c r="K135" s="3"/>
      <c r="L135" s="3"/>
      <c r="M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23">
        <v>2826</v>
      </c>
      <c r="B136" s="24" t="s">
        <v>823</v>
      </c>
      <c r="C136" s="25">
        <v>19310425.27</v>
      </c>
      <c r="D136" s="25">
        <v>2784290.76</v>
      </c>
      <c r="E136" s="25">
        <v>3054880.13</v>
      </c>
      <c r="F136" s="26">
        <v>3252792.69</v>
      </c>
      <c r="G136" t="str">
        <f t="shared" si="2"/>
        <v>2826</v>
      </c>
      <c r="K136" s="3"/>
      <c r="L136" s="3"/>
      <c r="M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23">
        <v>2846</v>
      </c>
      <c r="B137" s="24" t="s">
        <v>824</v>
      </c>
      <c r="C137" s="25">
        <v>4854990.7300000004</v>
      </c>
      <c r="D137" s="25">
        <v>1075972.28</v>
      </c>
      <c r="E137" s="25">
        <v>3047990.66</v>
      </c>
      <c r="F137" s="26">
        <v>3161887.47</v>
      </c>
      <c r="G137" t="str">
        <f t="shared" si="2"/>
        <v>2846</v>
      </c>
      <c r="K137" s="3"/>
      <c r="L137" s="3"/>
      <c r="M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23">
        <v>2862</v>
      </c>
      <c r="B138" s="24" t="s">
        <v>825</v>
      </c>
      <c r="C138" s="25">
        <v>8521006.6500000004</v>
      </c>
      <c r="D138" s="25">
        <v>1213699.8700000001</v>
      </c>
      <c r="E138" s="25">
        <v>2726653.69</v>
      </c>
      <c r="F138" s="26">
        <v>3073943.45</v>
      </c>
      <c r="G138" t="str">
        <f t="shared" si="2"/>
        <v>2862</v>
      </c>
      <c r="K138" s="3"/>
      <c r="L138" s="3"/>
      <c r="M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23">
        <v>2977</v>
      </c>
      <c r="B139" s="24" t="s">
        <v>826</v>
      </c>
      <c r="C139" s="25">
        <v>7930883.8799999999</v>
      </c>
      <c r="D139" s="25">
        <v>1065944.73</v>
      </c>
      <c r="E139" s="25">
        <v>1927106.36</v>
      </c>
      <c r="F139" s="26">
        <v>2225507.5299999998</v>
      </c>
      <c r="G139" t="str">
        <f t="shared" si="2"/>
        <v>2977</v>
      </c>
      <c r="K139" s="3"/>
      <c r="L139" s="3"/>
      <c r="M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23">
        <v>2988</v>
      </c>
      <c r="B140" s="24" t="s">
        <v>827</v>
      </c>
      <c r="C140" s="25">
        <v>9484621.8000000007</v>
      </c>
      <c r="D140" s="25">
        <v>2835011.15</v>
      </c>
      <c r="E140" s="25">
        <v>1470963.72</v>
      </c>
      <c r="F140" s="26">
        <v>1793428.14</v>
      </c>
      <c r="G140" t="str">
        <f t="shared" si="2"/>
        <v>2988</v>
      </c>
      <c r="K140" s="3"/>
      <c r="L140" s="3"/>
      <c r="M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23">
        <v>3029</v>
      </c>
      <c r="B141" s="24" t="s">
        <v>828</v>
      </c>
      <c r="C141" s="25">
        <v>16827701.329999998</v>
      </c>
      <c r="D141" s="25">
        <v>2094141.73</v>
      </c>
      <c r="E141" s="25">
        <v>2639313.2599999998</v>
      </c>
      <c r="F141" s="26">
        <v>3565048.98</v>
      </c>
      <c r="G141" t="str">
        <f t="shared" si="2"/>
        <v>3029</v>
      </c>
      <c r="K141" s="3"/>
      <c r="L141" s="3"/>
      <c r="M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23">
        <v>3033</v>
      </c>
      <c r="B142" s="24" t="s">
        <v>829</v>
      </c>
      <c r="C142" s="25">
        <v>7033197.0899999999</v>
      </c>
      <c r="D142" s="25">
        <v>1899296.88</v>
      </c>
      <c r="E142" s="25">
        <v>806861.49</v>
      </c>
      <c r="F142" s="26">
        <v>1116919.72</v>
      </c>
      <c r="G142" t="str">
        <f t="shared" si="2"/>
        <v>3033</v>
      </c>
      <c r="K142" s="3"/>
      <c r="L142" s="3"/>
      <c r="M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23">
        <v>3042</v>
      </c>
      <c r="B143" s="24" t="s">
        <v>830</v>
      </c>
      <c r="C143" s="25">
        <v>10638306.390000001</v>
      </c>
      <c r="D143" s="25">
        <v>2114972.92</v>
      </c>
      <c r="E143" s="25">
        <v>1765071.35</v>
      </c>
      <c r="F143" s="26">
        <v>2078848.52</v>
      </c>
      <c r="G143" t="str">
        <f t="shared" si="2"/>
        <v>3042</v>
      </c>
      <c r="K143" s="3"/>
      <c r="L143" s="3"/>
      <c r="M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23">
        <v>3060</v>
      </c>
      <c r="B144" s="24" t="s">
        <v>831</v>
      </c>
      <c r="C144" s="25">
        <v>19132684.600000001</v>
      </c>
      <c r="D144" s="25">
        <v>3861772.67</v>
      </c>
      <c r="E144" s="25">
        <v>4596395.1900000004</v>
      </c>
      <c r="F144" s="26">
        <v>4709043.5</v>
      </c>
      <c r="G144" t="str">
        <f t="shared" si="2"/>
        <v>3060</v>
      </c>
      <c r="K144" s="3"/>
      <c r="L144" s="3"/>
      <c r="M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23">
        <v>3105</v>
      </c>
      <c r="B145" s="24" t="s">
        <v>832</v>
      </c>
      <c r="C145" s="25">
        <v>19973688.609999999</v>
      </c>
      <c r="D145" s="25">
        <v>3228616.79</v>
      </c>
      <c r="E145" s="25">
        <v>5308685.53</v>
      </c>
      <c r="F145" s="26">
        <v>6022839.3399999999</v>
      </c>
      <c r="G145" t="str">
        <f t="shared" si="2"/>
        <v>3105</v>
      </c>
      <c r="K145" s="3"/>
      <c r="L145" s="3"/>
      <c r="M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23">
        <v>3114</v>
      </c>
      <c r="B146" s="24" t="s">
        <v>833</v>
      </c>
      <c r="C146" s="25">
        <v>44415937.719999999</v>
      </c>
      <c r="D146" s="25">
        <v>5488032.9199999999</v>
      </c>
      <c r="E146" s="25">
        <v>9331520.6600000001</v>
      </c>
      <c r="F146" s="26">
        <v>10477444.369999999</v>
      </c>
      <c r="G146" t="str">
        <f t="shared" si="2"/>
        <v>3114</v>
      </c>
      <c r="K146" s="3"/>
      <c r="L146" s="3"/>
      <c r="M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23">
        <v>3119</v>
      </c>
      <c r="B147" s="24" t="s">
        <v>834</v>
      </c>
      <c r="C147" s="25">
        <v>11813630.880000001</v>
      </c>
      <c r="D147" s="25">
        <v>2138627.9300000002</v>
      </c>
      <c r="E147" s="25">
        <v>2081301.69</v>
      </c>
      <c r="F147" s="26">
        <v>2298559.63</v>
      </c>
      <c r="G147" t="str">
        <f t="shared" si="2"/>
        <v>3119</v>
      </c>
      <c r="K147" s="3"/>
      <c r="L147" s="3"/>
      <c r="M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23">
        <v>3141</v>
      </c>
      <c r="B148" s="24" t="s">
        <v>835</v>
      </c>
      <c r="C148" s="25">
        <v>198158229.97</v>
      </c>
      <c r="D148" s="25">
        <v>20591198.050000001</v>
      </c>
      <c r="E148" s="25">
        <v>14881750.15</v>
      </c>
      <c r="F148" s="26">
        <v>19366903.52</v>
      </c>
      <c r="G148" t="str">
        <f t="shared" si="2"/>
        <v>3141</v>
      </c>
      <c r="K148" s="3"/>
      <c r="L148" s="3"/>
      <c r="M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23">
        <v>3150</v>
      </c>
      <c r="B149" s="24" t="s">
        <v>836</v>
      </c>
      <c r="C149" s="25">
        <v>15348900.789999999</v>
      </c>
      <c r="D149" s="25">
        <v>3921663.47</v>
      </c>
      <c r="E149" s="25">
        <v>3455274.36</v>
      </c>
      <c r="F149" s="26">
        <v>3945468.5</v>
      </c>
      <c r="G149" t="str">
        <f t="shared" si="2"/>
        <v>3150</v>
      </c>
      <c r="K149" s="3"/>
      <c r="L149" s="3"/>
      <c r="M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23">
        <v>3154</v>
      </c>
      <c r="B150" s="24" t="s">
        <v>837</v>
      </c>
      <c r="C150" s="25">
        <v>7424950.0199999996</v>
      </c>
      <c r="D150" s="25">
        <v>1792549.53</v>
      </c>
      <c r="E150" s="25">
        <v>2423013.83</v>
      </c>
      <c r="F150" s="26">
        <v>3006779.04</v>
      </c>
      <c r="G150" t="str">
        <f t="shared" si="2"/>
        <v>3154</v>
      </c>
      <c r="K150" s="3"/>
      <c r="L150" s="3"/>
      <c r="M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23">
        <v>3168</v>
      </c>
      <c r="B151" s="24" t="s">
        <v>838</v>
      </c>
      <c r="C151" s="25">
        <v>10354419.289999999</v>
      </c>
      <c r="D151" s="25">
        <v>1623227.23</v>
      </c>
      <c r="E151" s="25">
        <v>1634885.76</v>
      </c>
      <c r="F151" s="26">
        <v>1738608.02</v>
      </c>
      <c r="G151" t="str">
        <f t="shared" si="2"/>
        <v>3168</v>
      </c>
      <c r="K151" s="3"/>
      <c r="L151" s="3"/>
      <c r="M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23">
        <v>3186</v>
      </c>
      <c r="B152" s="24" t="s">
        <v>839</v>
      </c>
      <c r="C152" s="25">
        <v>6384499.8399999999</v>
      </c>
      <c r="D152" s="25">
        <v>1185627.02</v>
      </c>
      <c r="E152" s="25">
        <v>1540332.89</v>
      </c>
      <c r="F152" s="26">
        <v>1756929.59</v>
      </c>
      <c r="G152" t="str">
        <f t="shared" si="2"/>
        <v>3186</v>
      </c>
      <c r="K152" s="3"/>
      <c r="L152" s="3"/>
      <c r="M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23">
        <v>3195</v>
      </c>
      <c r="B153" s="24" t="s">
        <v>840</v>
      </c>
      <c r="C153" s="25">
        <v>16954282.41</v>
      </c>
      <c r="D153" s="25">
        <v>2542835.71</v>
      </c>
      <c r="E153" s="25">
        <v>2624046.96</v>
      </c>
      <c r="F153" s="26">
        <v>3145738.84</v>
      </c>
      <c r="G153" t="str">
        <f t="shared" si="2"/>
        <v>3195</v>
      </c>
      <c r="K153" s="3"/>
      <c r="L153" s="3"/>
      <c r="M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23">
        <v>3204</v>
      </c>
      <c r="B154" s="24" t="s">
        <v>841</v>
      </c>
      <c r="C154" s="25">
        <v>11788636.310000001</v>
      </c>
      <c r="D154" s="25">
        <v>1704512.65</v>
      </c>
      <c r="E154" s="25">
        <v>2499588.91</v>
      </c>
      <c r="F154" s="26">
        <v>2844909.48</v>
      </c>
      <c r="G154" t="str">
        <f t="shared" si="2"/>
        <v>3204</v>
      </c>
      <c r="K154" s="3"/>
      <c r="L154" s="3"/>
      <c r="M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23">
        <v>3231</v>
      </c>
      <c r="B155" s="24" t="s">
        <v>842</v>
      </c>
      <c r="C155" s="25">
        <v>96950363.060000002</v>
      </c>
      <c r="D155" s="25">
        <v>14230376.869999999</v>
      </c>
      <c r="E155" s="25">
        <v>11784931.85</v>
      </c>
      <c r="F155" s="26">
        <v>16492036.74</v>
      </c>
      <c r="G155" t="str">
        <f t="shared" si="2"/>
        <v>3231</v>
      </c>
      <c r="K155" s="3"/>
      <c r="L155" s="3"/>
      <c r="M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23">
        <v>3312</v>
      </c>
      <c r="B156" s="24" t="s">
        <v>843</v>
      </c>
      <c r="C156" s="25">
        <v>27172219.219999999</v>
      </c>
      <c r="D156" s="25">
        <v>3737605.74</v>
      </c>
      <c r="E156" s="25">
        <v>4921075.07</v>
      </c>
      <c r="F156" s="26">
        <v>5101570.21</v>
      </c>
      <c r="G156" t="str">
        <f t="shared" si="2"/>
        <v>3312</v>
      </c>
      <c r="K156" s="3"/>
      <c r="L156" s="3"/>
      <c r="M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23">
        <v>3330</v>
      </c>
      <c r="B157" s="24" t="s">
        <v>844</v>
      </c>
      <c r="C157" s="25">
        <v>5294033.93</v>
      </c>
      <c r="D157" s="25">
        <v>759570.77</v>
      </c>
      <c r="E157" s="25">
        <v>561259.71</v>
      </c>
      <c r="F157" s="26">
        <v>1017083.11</v>
      </c>
      <c r="G157" t="str">
        <f t="shared" si="2"/>
        <v>3330</v>
      </c>
      <c r="K157" s="3"/>
      <c r="L157" s="3"/>
      <c r="M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23">
        <v>3348</v>
      </c>
      <c r="B158" s="24" t="s">
        <v>845</v>
      </c>
      <c r="C158" s="25">
        <v>7422727.2300000004</v>
      </c>
      <c r="D158" s="25">
        <v>924159.24</v>
      </c>
      <c r="E158" s="25">
        <v>632278.01</v>
      </c>
      <c r="F158" s="26">
        <v>665958.12</v>
      </c>
      <c r="G158" t="str">
        <f t="shared" si="2"/>
        <v>3348</v>
      </c>
      <c r="K158" s="3"/>
      <c r="L158" s="3"/>
      <c r="M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23">
        <v>3375</v>
      </c>
      <c r="B159" s="24" t="s">
        <v>846</v>
      </c>
      <c r="C159" s="25">
        <v>24424868.899999999</v>
      </c>
      <c r="D159" s="25">
        <v>3197328.37</v>
      </c>
      <c r="E159" s="25">
        <v>2477749.4500000002</v>
      </c>
      <c r="F159" s="26">
        <v>2975755.1</v>
      </c>
      <c r="G159" t="str">
        <f t="shared" si="2"/>
        <v>3375</v>
      </c>
      <c r="K159" s="3"/>
      <c r="L159" s="3"/>
      <c r="M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23">
        <v>3420</v>
      </c>
      <c r="B160" s="24" t="s">
        <v>847</v>
      </c>
      <c r="C160" s="25">
        <v>8552485.2300000004</v>
      </c>
      <c r="D160" s="25">
        <v>1829141.74</v>
      </c>
      <c r="E160" s="25">
        <v>2107929.67</v>
      </c>
      <c r="F160" s="26">
        <v>2541527.7999999998</v>
      </c>
      <c r="G160" t="str">
        <f t="shared" si="2"/>
        <v>3420</v>
      </c>
      <c r="K160" s="3"/>
      <c r="L160" s="3"/>
      <c r="M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23">
        <v>3465</v>
      </c>
      <c r="B161" s="24" t="s">
        <v>848</v>
      </c>
      <c r="C161" s="25">
        <v>4802157.26</v>
      </c>
      <c r="D161" s="25">
        <v>1361920.11</v>
      </c>
      <c r="E161" s="25">
        <v>1505753.7</v>
      </c>
      <c r="F161" s="26">
        <v>1716240.91</v>
      </c>
      <c r="G161" t="str">
        <f t="shared" si="2"/>
        <v>3465</v>
      </c>
      <c r="K161" s="3"/>
      <c r="L161" s="3"/>
      <c r="M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23">
        <v>3537</v>
      </c>
      <c r="B162" s="24" t="s">
        <v>849</v>
      </c>
      <c r="C162" s="25">
        <v>4667654.8</v>
      </c>
      <c r="D162" s="25">
        <v>606778.57999999996</v>
      </c>
      <c r="E162" s="25">
        <v>1074704.1399999999</v>
      </c>
      <c r="F162" s="26">
        <v>1280116.42</v>
      </c>
      <c r="G162" t="str">
        <f t="shared" si="2"/>
        <v>3537</v>
      </c>
      <c r="K162" s="3"/>
      <c r="L162" s="3"/>
      <c r="M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23">
        <v>3555</v>
      </c>
      <c r="B163" s="24" t="s">
        <v>850</v>
      </c>
      <c r="C163" s="25">
        <v>8787737.4800000004</v>
      </c>
      <c r="D163" s="25">
        <v>2645841.46</v>
      </c>
      <c r="E163" s="25">
        <v>5836277.8099999996</v>
      </c>
      <c r="F163" s="26">
        <v>6089811.3399999999</v>
      </c>
      <c r="G163" t="str">
        <f t="shared" si="2"/>
        <v>3555</v>
      </c>
      <c r="K163" s="3"/>
      <c r="L163" s="3"/>
      <c r="M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23">
        <v>3600</v>
      </c>
      <c r="B164" s="24" t="s">
        <v>851</v>
      </c>
      <c r="C164" s="25">
        <v>27783339</v>
      </c>
      <c r="D164" s="25">
        <v>2984681.77</v>
      </c>
      <c r="E164" s="25">
        <v>10068129.939999999</v>
      </c>
      <c r="F164" s="26">
        <v>10609992.68</v>
      </c>
      <c r="G164" t="str">
        <f t="shared" si="2"/>
        <v>3600</v>
      </c>
      <c r="K164" s="3"/>
      <c r="L164" s="3"/>
      <c r="M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23">
        <v>3609</v>
      </c>
      <c r="B165" s="24" t="s">
        <v>852</v>
      </c>
      <c r="C165" s="25">
        <v>6569519.6200000001</v>
      </c>
      <c r="D165" s="25">
        <v>1414439.22</v>
      </c>
      <c r="E165" s="25">
        <v>2440936.9700000002</v>
      </c>
      <c r="F165" s="26">
        <v>2826953.54</v>
      </c>
      <c r="G165" t="str">
        <f t="shared" si="2"/>
        <v>3609</v>
      </c>
      <c r="K165" s="3"/>
      <c r="L165" s="3"/>
      <c r="M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23">
        <v>3645</v>
      </c>
      <c r="B166" s="24" t="s">
        <v>853</v>
      </c>
      <c r="C166" s="25">
        <v>40884095.299999997</v>
      </c>
      <c r="D166" s="25">
        <v>10049871.960000001</v>
      </c>
      <c r="E166" s="25">
        <v>9309617.1099999994</v>
      </c>
      <c r="F166" s="26">
        <v>10122847.810000001</v>
      </c>
      <c r="G166" t="str">
        <f t="shared" si="2"/>
        <v>3645</v>
      </c>
      <c r="K166" s="3"/>
      <c r="L166" s="3"/>
      <c r="M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23">
        <v>3691</v>
      </c>
      <c r="B167" s="24" t="s">
        <v>854</v>
      </c>
      <c r="C167" s="25">
        <v>10906117.09</v>
      </c>
      <c r="D167" s="25">
        <v>1007543.75</v>
      </c>
      <c r="E167" s="25">
        <v>-317511.03000000003</v>
      </c>
      <c r="F167" s="26">
        <v>-67645.42</v>
      </c>
      <c r="G167" t="str">
        <f t="shared" si="2"/>
        <v>3691</v>
      </c>
      <c r="K167" s="3"/>
      <c r="L167" s="3"/>
      <c r="M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23">
        <v>3715</v>
      </c>
      <c r="B168" s="24" t="s">
        <v>855</v>
      </c>
      <c r="C168" s="25">
        <v>104742031.77</v>
      </c>
      <c r="D168" s="25">
        <v>11636918</v>
      </c>
      <c r="E168" s="25">
        <v>6363582.4100000001</v>
      </c>
      <c r="F168" s="26">
        <v>7108795.54</v>
      </c>
      <c r="G168" t="str">
        <f t="shared" si="2"/>
        <v>3715</v>
      </c>
      <c r="K168" s="3"/>
      <c r="L168" s="3"/>
      <c r="M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23">
        <v>3744</v>
      </c>
      <c r="B169" s="24" t="s">
        <v>856</v>
      </c>
      <c r="C169" s="25">
        <v>10011954.560000001</v>
      </c>
      <c r="D169" s="25">
        <v>1854644.85</v>
      </c>
      <c r="E169" s="25">
        <v>771790.11</v>
      </c>
      <c r="F169" s="26">
        <v>1112063.58</v>
      </c>
      <c r="G169" t="str">
        <f t="shared" si="2"/>
        <v>3744</v>
      </c>
      <c r="K169" s="3"/>
      <c r="L169" s="3"/>
      <c r="M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23">
        <v>3798</v>
      </c>
      <c r="B170" s="24" t="s">
        <v>857</v>
      </c>
      <c r="C170" s="25">
        <v>10163819.449999999</v>
      </c>
      <c r="D170" s="25">
        <v>3629898.33</v>
      </c>
      <c r="E170" s="25">
        <v>1919447.23</v>
      </c>
      <c r="F170" s="26">
        <v>2246066.38</v>
      </c>
      <c r="G170" t="str">
        <f t="shared" si="2"/>
        <v>3798</v>
      </c>
      <c r="K170" s="3"/>
      <c r="L170" s="3"/>
      <c r="M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23">
        <v>3816</v>
      </c>
      <c r="B171" s="24" t="s">
        <v>858</v>
      </c>
      <c r="C171" s="25">
        <v>5389183.8799999999</v>
      </c>
      <c r="D171" s="25">
        <v>1486798.89</v>
      </c>
      <c r="E171" s="25">
        <v>1302971.72</v>
      </c>
      <c r="F171" s="26">
        <v>1656167.87</v>
      </c>
      <c r="G171" t="str">
        <f t="shared" si="2"/>
        <v>3816</v>
      </c>
      <c r="K171" s="3"/>
      <c r="L171" s="3"/>
      <c r="M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23">
        <v>3841</v>
      </c>
      <c r="B172" s="24" t="s">
        <v>859</v>
      </c>
      <c r="C172" s="25">
        <v>11009051.77</v>
      </c>
      <c r="D172" s="25">
        <v>2652248.34</v>
      </c>
      <c r="E172" s="25">
        <v>1921292.01</v>
      </c>
      <c r="F172" s="26">
        <v>2171838.17</v>
      </c>
      <c r="G172" t="str">
        <f t="shared" si="2"/>
        <v>3841</v>
      </c>
      <c r="K172" s="3"/>
      <c r="L172" s="3"/>
      <c r="M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23">
        <v>3906</v>
      </c>
      <c r="B173" s="24" t="s">
        <v>860</v>
      </c>
      <c r="C173" s="25">
        <v>6688070.9900000002</v>
      </c>
      <c r="D173" s="25">
        <v>1366635</v>
      </c>
      <c r="E173" s="25">
        <v>1627341.21</v>
      </c>
      <c r="F173" s="26">
        <v>1888978.02</v>
      </c>
      <c r="G173" t="str">
        <f t="shared" si="2"/>
        <v>3906</v>
      </c>
      <c r="K173" s="3"/>
      <c r="L173" s="3"/>
      <c r="M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23">
        <v>3942</v>
      </c>
      <c r="B174" s="24" t="s">
        <v>861</v>
      </c>
      <c r="C174" s="25">
        <v>8104152.6500000004</v>
      </c>
      <c r="D174" s="25">
        <v>913939.16</v>
      </c>
      <c r="E174" s="25">
        <v>936881.04</v>
      </c>
      <c r="F174" s="26">
        <v>1641631.6</v>
      </c>
      <c r="G174" t="str">
        <f t="shared" si="2"/>
        <v>3942</v>
      </c>
      <c r="K174" s="3"/>
      <c r="L174" s="3"/>
      <c r="M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23">
        <v>3978</v>
      </c>
      <c r="B175" s="24" t="s">
        <v>862</v>
      </c>
      <c r="C175" s="25">
        <v>8859378.2599999998</v>
      </c>
      <c r="D175" s="25">
        <v>2097034.57</v>
      </c>
      <c r="E175" s="25">
        <v>4095886.24</v>
      </c>
      <c r="F175" s="26">
        <v>4426173.03</v>
      </c>
      <c r="G175" t="str">
        <f t="shared" si="2"/>
        <v>3978</v>
      </c>
      <c r="K175" s="3"/>
      <c r="L175" s="3"/>
      <c r="M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23">
        <v>4023</v>
      </c>
      <c r="B176" s="24" t="s">
        <v>863</v>
      </c>
      <c r="C176" s="25">
        <v>9691165.9600000009</v>
      </c>
      <c r="D176" s="25">
        <v>2378745.41</v>
      </c>
      <c r="E176" s="25">
        <v>3699157.96</v>
      </c>
      <c r="F176" s="26">
        <v>3892398.7</v>
      </c>
      <c r="G176" t="str">
        <f t="shared" si="2"/>
        <v>4023</v>
      </c>
      <c r="K176" s="3"/>
      <c r="L176" s="3"/>
      <c r="M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23">
        <v>4033</v>
      </c>
      <c r="B177" s="24" t="s">
        <v>864</v>
      </c>
      <c r="C177" s="25">
        <v>9952859.5199999996</v>
      </c>
      <c r="D177" s="25">
        <v>1886228.71</v>
      </c>
      <c r="E177" s="25">
        <v>1096132.07</v>
      </c>
      <c r="F177" s="26">
        <v>1105876.8500000001</v>
      </c>
      <c r="G177" t="str">
        <f t="shared" si="2"/>
        <v>4033</v>
      </c>
      <c r="K177" s="3"/>
      <c r="L177" s="3"/>
      <c r="M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23">
        <v>4041</v>
      </c>
      <c r="B178" s="24" t="s">
        <v>865</v>
      </c>
      <c r="C178" s="25">
        <v>21290876.670000002</v>
      </c>
      <c r="D178" s="25">
        <v>5627582.7000000002</v>
      </c>
      <c r="E178" s="25">
        <v>4135025.91</v>
      </c>
      <c r="F178" s="26">
        <v>4357119.58</v>
      </c>
      <c r="G178" t="str">
        <f t="shared" si="2"/>
        <v>4041</v>
      </c>
      <c r="K178" s="3"/>
      <c r="L178" s="3"/>
      <c r="M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23">
        <v>4043</v>
      </c>
      <c r="B179" s="24" t="s">
        <v>866</v>
      </c>
      <c r="C179" s="25">
        <v>9505729.25</v>
      </c>
      <c r="D179" s="25">
        <v>1633063.83</v>
      </c>
      <c r="E179" s="25">
        <v>3448034.57</v>
      </c>
      <c r="F179" s="26">
        <v>3564184.42</v>
      </c>
      <c r="G179" t="str">
        <f t="shared" si="2"/>
        <v>4043</v>
      </c>
      <c r="K179" s="3"/>
      <c r="L179" s="3"/>
      <c r="M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23">
        <v>4068</v>
      </c>
      <c r="B180" s="24" t="s">
        <v>867</v>
      </c>
      <c r="C180" s="25">
        <v>7691189.2000000002</v>
      </c>
      <c r="D180" s="25">
        <v>1683167.65</v>
      </c>
      <c r="E180" s="25">
        <v>-71230.350000000006</v>
      </c>
      <c r="F180" s="26">
        <v>449797.39</v>
      </c>
      <c r="G180" t="str">
        <f t="shared" si="2"/>
        <v>4068</v>
      </c>
      <c r="K180" s="3"/>
      <c r="L180" s="3"/>
      <c r="M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23">
        <v>4086</v>
      </c>
      <c r="B181" s="24" t="s">
        <v>868</v>
      </c>
      <c r="C181" s="25">
        <v>33674531.359999999</v>
      </c>
      <c r="D181" s="25">
        <v>11691847.970000001</v>
      </c>
      <c r="E181" s="25">
        <v>6284790.7800000003</v>
      </c>
      <c r="F181" s="26">
        <v>7257093.1100000003</v>
      </c>
      <c r="G181" t="str">
        <f t="shared" si="2"/>
        <v>4086</v>
      </c>
      <c r="K181" s="3"/>
      <c r="L181" s="3"/>
      <c r="M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23">
        <v>4104</v>
      </c>
      <c r="B182" s="24" t="s">
        <v>869</v>
      </c>
      <c r="C182" s="25">
        <v>75951581.930000007</v>
      </c>
      <c r="D182" s="25">
        <v>10773831.09</v>
      </c>
      <c r="E182" s="25">
        <v>16006516</v>
      </c>
      <c r="F182" s="26">
        <v>17316411.359999999</v>
      </c>
      <c r="G182" t="str">
        <f t="shared" si="2"/>
        <v>4104</v>
      </c>
      <c r="K182" s="3"/>
      <c r="L182" s="3"/>
      <c r="M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23">
        <v>4122</v>
      </c>
      <c r="B183" s="24" t="s">
        <v>870</v>
      </c>
      <c r="C183" s="25">
        <v>7144331.7800000003</v>
      </c>
      <c r="D183" s="25">
        <v>1866501.98</v>
      </c>
      <c r="E183" s="25">
        <v>2144290.27</v>
      </c>
      <c r="F183" s="26">
        <v>2728270.82</v>
      </c>
      <c r="G183" t="str">
        <f t="shared" si="2"/>
        <v>4122</v>
      </c>
      <c r="K183" s="3"/>
      <c r="L183" s="3"/>
      <c r="M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23">
        <v>4131</v>
      </c>
      <c r="B184" s="24" t="s">
        <v>871</v>
      </c>
      <c r="C184" s="25">
        <v>55059926.539999999</v>
      </c>
      <c r="D184" s="25">
        <v>7945625.3499999996</v>
      </c>
      <c r="E184" s="25">
        <v>10811000.550000001</v>
      </c>
      <c r="F184" s="26">
        <v>11238024.539999999</v>
      </c>
      <c r="G184" t="str">
        <f t="shared" si="2"/>
        <v>4131</v>
      </c>
      <c r="K184" s="3"/>
      <c r="L184" s="3"/>
      <c r="M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23">
        <v>4149</v>
      </c>
      <c r="B185" s="24" t="s">
        <v>872</v>
      </c>
      <c r="C185" s="25">
        <v>20084658.969999999</v>
      </c>
      <c r="D185" s="25">
        <v>1878552.11</v>
      </c>
      <c r="E185" s="25">
        <v>3849618.03</v>
      </c>
      <c r="F185" s="26">
        <v>4141975.39</v>
      </c>
      <c r="G185" t="str">
        <f t="shared" si="2"/>
        <v>4149</v>
      </c>
      <c r="K185" s="3"/>
      <c r="L185" s="3"/>
      <c r="M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23">
        <v>4203</v>
      </c>
      <c r="B186" s="24" t="s">
        <v>873</v>
      </c>
      <c r="C186" s="25">
        <v>11694578.529999999</v>
      </c>
      <c r="D186" s="25">
        <v>2306539.0299999998</v>
      </c>
      <c r="E186" s="25">
        <v>3466875.7</v>
      </c>
      <c r="F186" s="26">
        <v>3809137.36</v>
      </c>
      <c r="G186" t="str">
        <f t="shared" si="2"/>
        <v>4203</v>
      </c>
      <c r="K186" s="3"/>
      <c r="L186" s="3"/>
      <c r="M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23">
        <v>4212</v>
      </c>
      <c r="B187" s="24" t="s">
        <v>874</v>
      </c>
      <c r="C187" s="25">
        <v>4505555.58</v>
      </c>
      <c r="D187" s="25">
        <v>852492.84</v>
      </c>
      <c r="E187" s="25">
        <v>1866748.4</v>
      </c>
      <c r="F187" s="26">
        <v>1962760.73</v>
      </c>
      <c r="G187" t="str">
        <f t="shared" si="2"/>
        <v>4212</v>
      </c>
      <c r="K187" s="3"/>
      <c r="L187" s="3"/>
      <c r="M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23">
        <v>4269</v>
      </c>
      <c r="B188" s="24" t="s">
        <v>875</v>
      </c>
      <c r="C188" s="25">
        <v>8095732.0199999996</v>
      </c>
      <c r="D188" s="25">
        <v>2171651.23</v>
      </c>
      <c r="E188" s="25">
        <v>460821.35</v>
      </c>
      <c r="F188" s="26">
        <v>660313.55000000005</v>
      </c>
      <c r="G188" t="str">
        <f t="shared" si="2"/>
        <v>4269</v>
      </c>
      <c r="K188" s="3"/>
      <c r="L188" s="3"/>
      <c r="M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23">
        <v>4271</v>
      </c>
      <c r="B189" s="24" t="s">
        <v>876</v>
      </c>
      <c r="C189" s="25">
        <v>19149729.579999998</v>
      </c>
      <c r="D189" s="25">
        <v>5610161.4699999997</v>
      </c>
      <c r="E189" s="25">
        <v>5049416.76</v>
      </c>
      <c r="F189" s="26">
        <v>5777237.54</v>
      </c>
      <c r="G189" t="str">
        <f t="shared" si="2"/>
        <v>4271</v>
      </c>
      <c r="K189" s="3"/>
      <c r="L189" s="3"/>
      <c r="M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23">
        <v>4356</v>
      </c>
      <c r="B190" s="24" t="s">
        <v>877</v>
      </c>
      <c r="C190" s="25">
        <v>10368839.57</v>
      </c>
      <c r="D190" s="25">
        <v>1345303.87</v>
      </c>
      <c r="E190" s="25">
        <v>1525278.95</v>
      </c>
      <c r="F190" s="26">
        <v>1780406.57</v>
      </c>
      <c r="G190" t="str">
        <f t="shared" si="2"/>
        <v>4356</v>
      </c>
      <c r="K190" s="3"/>
      <c r="L190" s="3"/>
      <c r="M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23">
        <v>4419</v>
      </c>
      <c r="B191" s="24" t="s">
        <v>878</v>
      </c>
      <c r="C191" s="25">
        <v>10979554.65</v>
      </c>
      <c r="D191" s="25">
        <v>1168920.78</v>
      </c>
      <c r="E191" s="25">
        <v>2690450.64</v>
      </c>
      <c r="F191" s="26">
        <v>3048625.88</v>
      </c>
      <c r="G191" t="str">
        <f t="shared" si="2"/>
        <v>4419</v>
      </c>
      <c r="K191" s="3"/>
      <c r="L191" s="3"/>
      <c r="M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23">
        <v>4437</v>
      </c>
      <c r="B192" s="24" t="s">
        <v>879</v>
      </c>
      <c r="C192" s="25">
        <v>6201591.7000000002</v>
      </c>
      <c r="D192" s="25">
        <v>706930.25</v>
      </c>
      <c r="E192" s="25">
        <v>2077193.11</v>
      </c>
      <c r="F192" s="26">
        <v>2593593.41</v>
      </c>
      <c r="G192" t="str">
        <f t="shared" si="2"/>
        <v>4437</v>
      </c>
      <c r="K192" s="3"/>
      <c r="L192" s="3"/>
      <c r="M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23">
        <v>4446</v>
      </c>
      <c r="B193" s="24" t="s">
        <v>880</v>
      </c>
      <c r="C193" s="25">
        <v>13388332.359999999</v>
      </c>
      <c r="D193" s="25">
        <v>1681515.66</v>
      </c>
      <c r="E193" s="25">
        <v>1376623.19</v>
      </c>
      <c r="F193" s="26">
        <v>1660966.6</v>
      </c>
      <c r="G193" t="str">
        <f t="shared" si="2"/>
        <v>4446</v>
      </c>
      <c r="K193" s="3"/>
      <c r="L193" s="3"/>
      <c r="M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23">
        <v>4491</v>
      </c>
      <c r="B194" s="24" t="s">
        <v>881</v>
      </c>
      <c r="C194" s="25">
        <v>5385379.6399999997</v>
      </c>
      <c r="D194" s="25">
        <v>1434498.88</v>
      </c>
      <c r="E194" s="25">
        <v>2856297.59</v>
      </c>
      <c r="F194" s="26">
        <v>2993910.49</v>
      </c>
      <c r="G194" t="str">
        <f t="shared" si="2"/>
        <v>4491</v>
      </c>
      <c r="K194" s="3"/>
      <c r="L194" s="3"/>
      <c r="M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23">
        <v>4505</v>
      </c>
      <c r="B195" s="24" t="s">
        <v>882</v>
      </c>
      <c r="C195" s="25">
        <v>3428511.65</v>
      </c>
      <c r="D195" s="25">
        <v>583007.93000000005</v>
      </c>
      <c r="E195" s="25">
        <v>431033.03</v>
      </c>
      <c r="F195" s="26">
        <v>473354.38</v>
      </c>
      <c r="G195" t="str">
        <f t="shared" si="2"/>
        <v>4505</v>
      </c>
      <c r="K195" s="3"/>
      <c r="L195" s="3"/>
      <c r="M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23">
        <v>4509</v>
      </c>
      <c r="B196" s="24" t="s">
        <v>883</v>
      </c>
      <c r="C196" s="25">
        <v>2794833.12</v>
      </c>
      <c r="D196" s="25">
        <v>654913.56999999995</v>
      </c>
      <c r="E196" s="25">
        <v>2143640.87</v>
      </c>
      <c r="F196" s="26">
        <v>2209147.5299999998</v>
      </c>
      <c r="G196" t="str">
        <f t="shared" si="2"/>
        <v>4509</v>
      </c>
      <c r="K196" s="3"/>
      <c r="L196" s="3"/>
      <c r="M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23">
        <v>4518</v>
      </c>
      <c r="B197" s="24" t="s">
        <v>884</v>
      </c>
      <c r="C197" s="25">
        <v>3112754.11</v>
      </c>
      <c r="D197" s="25">
        <v>682969.95</v>
      </c>
      <c r="E197" s="25">
        <v>131673.04999999999</v>
      </c>
      <c r="F197" s="26">
        <v>481069.97</v>
      </c>
      <c r="G197" t="str">
        <f t="shared" ref="G197:G260" si="3">TEXT(A197,"0000")</f>
        <v>4518</v>
      </c>
      <c r="K197" s="3"/>
      <c r="L197" s="3"/>
      <c r="M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23">
        <v>4527</v>
      </c>
      <c r="B198" s="24" t="s">
        <v>885</v>
      </c>
      <c r="C198" s="25">
        <v>11219278.609999999</v>
      </c>
      <c r="D198" s="25">
        <v>3340661.7</v>
      </c>
      <c r="E198" s="25">
        <v>1929823.71</v>
      </c>
      <c r="F198" s="26">
        <v>2101924.08</v>
      </c>
      <c r="G198" t="str">
        <f t="shared" si="3"/>
        <v>4527</v>
      </c>
      <c r="K198" s="3"/>
      <c r="L198" s="3"/>
      <c r="M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23">
        <v>4536</v>
      </c>
      <c r="B199" s="24" t="s">
        <v>886</v>
      </c>
      <c r="C199" s="25">
        <v>24976092.579999998</v>
      </c>
      <c r="D199" s="25">
        <v>4741259.12</v>
      </c>
      <c r="E199" s="25">
        <v>6676934.8300000001</v>
      </c>
      <c r="F199" s="26">
        <v>7867768.7000000002</v>
      </c>
      <c r="G199" t="str">
        <f t="shared" si="3"/>
        <v>4536</v>
      </c>
      <c r="K199" s="3"/>
      <c r="L199" s="3"/>
      <c r="M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23">
        <v>4554</v>
      </c>
      <c r="B200" s="24" t="s">
        <v>887</v>
      </c>
      <c r="C200" s="25">
        <v>17850813.600000001</v>
      </c>
      <c r="D200" s="25">
        <v>4452014.5599999996</v>
      </c>
      <c r="E200" s="25">
        <v>917007.93</v>
      </c>
      <c r="F200" s="26">
        <v>1272069.24</v>
      </c>
      <c r="G200" t="str">
        <f t="shared" si="3"/>
        <v>4554</v>
      </c>
      <c r="K200" s="3"/>
      <c r="L200" s="3"/>
      <c r="M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23">
        <v>4572</v>
      </c>
      <c r="B201" s="24" t="s">
        <v>888</v>
      </c>
      <c r="C201" s="25">
        <v>4430248.28</v>
      </c>
      <c r="D201" s="25">
        <v>1487874.43</v>
      </c>
      <c r="E201" s="25">
        <v>1176725.58</v>
      </c>
      <c r="F201" s="26">
        <v>1476007.03</v>
      </c>
      <c r="G201" t="str">
        <f t="shared" si="3"/>
        <v>4572</v>
      </c>
      <c r="K201" s="3"/>
      <c r="L201" s="3"/>
      <c r="M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23">
        <v>4581</v>
      </c>
      <c r="B202" s="24" t="s">
        <v>889</v>
      </c>
      <c r="C202" s="25">
        <v>62154542.299999997</v>
      </c>
      <c r="D202" s="25">
        <v>8460822.5700000003</v>
      </c>
      <c r="E202" s="25">
        <v>10133914.310000001</v>
      </c>
      <c r="F202" s="26">
        <v>11189523.34</v>
      </c>
      <c r="G202" t="str">
        <f t="shared" si="3"/>
        <v>4581</v>
      </c>
      <c r="K202" s="3"/>
      <c r="L202" s="3"/>
      <c r="M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23">
        <v>4599</v>
      </c>
      <c r="B203" s="24" t="s">
        <v>890</v>
      </c>
      <c r="C203" s="25">
        <v>8042603.9000000004</v>
      </c>
      <c r="D203" s="25">
        <v>882304.4</v>
      </c>
      <c r="E203" s="25">
        <v>1531795.32</v>
      </c>
      <c r="F203" s="26">
        <v>1625517.32</v>
      </c>
      <c r="G203" t="str">
        <f t="shared" si="3"/>
        <v>4599</v>
      </c>
      <c r="K203" s="3"/>
      <c r="L203" s="3"/>
      <c r="M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23">
        <v>4617</v>
      </c>
      <c r="B204" s="24" t="s">
        <v>891</v>
      </c>
      <c r="C204" s="25">
        <v>20050781.440000001</v>
      </c>
      <c r="D204" s="25">
        <v>2467550.04</v>
      </c>
      <c r="E204" s="25">
        <v>2269450.6800000002</v>
      </c>
      <c r="F204" s="26">
        <v>2502319.7200000002</v>
      </c>
      <c r="G204" t="str">
        <f t="shared" si="3"/>
        <v>4617</v>
      </c>
      <c r="K204" s="3"/>
      <c r="L204" s="3"/>
      <c r="M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23">
        <v>4644</v>
      </c>
      <c r="B205" s="24" t="s">
        <v>892</v>
      </c>
      <c r="C205" s="25">
        <v>6929095.7400000002</v>
      </c>
      <c r="D205" s="25">
        <v>1245523.05</v>
      </c>
      <c r="E205" s="25">
        <v>2345079.4500000002</v>
      </c>
      <c r="F205" s="26">
        <v>2567017.96</v>
      </c>
      <c r="G205" t="str">
        <f t="shared" si="3"/>
        <v>4644</v>
      </c>
      <c r="K205" s="3"/>
      <c r="L205" s="3"/>
      <c r="M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23">
        <v>4662</v>
      </c>
      <c r="B206" s="24" t="s">
        <v>893</v>
      </c>
      <c r="C206" s="25">
        <v>14002642.34</v>
      </c>
      <c r="D206" s="25">
        <v>2506161.73</v>
      </c>
      <c r="E206" s="25">
        <v>1607561.6</v>
      </c>
      <c r="F206" s="26">
        <v>2069865.7</v>
      </c>
      <c r="G206" t="str">
        <f t="shared" si="3"/>
        <v>4662</v>
      </c>
      <c r="K206" s="3"/>
      <c r="L206" s="3"/>
      <c r="M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23">
        <v>4689</v>
      </c>
      <c r="B207" s="24" t="s">
        <v>894</v>
      </c>
      <c r="C207" s="25">
        <v>7976722.9000000004</v>
      </c>
      <c r="D207" s="25">
        <v>1408942.13</v>
      </c>
      <c r="E207" s="25">
        <v>861593.95</v>
      </c>
      <c r="F207" s="26">
        <v>1032820.63</v>
      </c>
      <c r="G207" t="str">
        <f t="shared" si="3"/>
        <v>4689</v>
      </c>
      <c r="K207" s="3"/>
      <c r="L207" s="3"/>
      <c r="M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23">
        <v>4725</v>
      </c>
      <c r="B208" s="24" t="s">
        <v>895</v>
      </c>
      <c r="C208" s="25">
        <v>39617033.649999999</v>
      </c>
      <c r="D208" s="25">
        <v>3865035.42</v>
      </c>
      <c r="E208" s="25">
        <v>6786109.5700000003</v>
      </c>
      <c r="F208" s="26">
        <v>6820857.8899999997</v>
      </c>
      <c r="G208" t="str">
        <f t="shared" si="3"/>
        <v>4725</v>
      </c>
      <c r="K208" s="3"/>
      <c r="L208" s="3"/>
      <c r="M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23">
        <v>4772</v>
      </c>
      <c r="B209" s="24" t="s">
        <v>896</v>
      </c>
      <c r="C209" s="25">
        <v>11651080.800000001</v>
      </c>
      <c r="D209" s="25">
        <v>2500430.9300000002</v>
      </c>
      <c r="E209" s="25">
        <v>3717282.06</v>
      </c>
      <c r="F209" s="26">
        <v>4232526.4400000004</v>
      </c>
      <c r="G209" t="str">
        <f t="shared" si="3"/>
        <v>4772</v>
      </c>
      <c r="K209" s="3"/>
      <c r="L209" s="3"/>
      <c r="M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23">
        <v>4773</v>
      </c>
      <c r="B210" s="24" t="s">
        <v>897</v>
      </c>
      <c r="C210" s="25">
        <v>10888134.75</v>
      </c>
      <c r="D210" s="25">
        <v>4542217.7</v>
      </c>
      <c r="E210" s="25">
        <v>1612595.57</v>
      </c>
      <c r="F210" s="26">
        <v>1848648.4</v>
      </c>
      <c r="G210" t="str">
        <f t="shared" si="3"/>
        <v>4773</v>
      </c>
      <c r="K210" s="3"/>
      <c r="L210" s="3"/>
      <c r="M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23">
        <v>4774</v>
      </c>
      <c r="B211" s="24" t="s">
        <v>898</v>
      </c>
      <c r="C211" s="25">
        <v>15180276.960000001</v>
      </c>
      <c r="D211" s="25">
        <v>1392062.37</v>
      </c>
      <c r="E211" s="25">
        <v>2154251.2400000002</v>
      </c>
      <c r="F211" s="26">
        <v>2945347.12</v>
      </c>
      <c r="G211" t="str">
        <f t="shared" si="3"/>
        <v>4774</v>
      </c>
      <c r="K211" s="3"/>
      <c r="L211" s="3"/>
      <c r="M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23">
        <v>4776</v>
      </c>
      <c r="B212" s="24" t="s">
        <v>899</v>
      </c>
      <c r="C212" s="25">
        <v>7939049.4900000002</v>
      </c>
      <c r="D212" s="25">
        <v>2031975.49</v>
      </c>
      <c r="E212" s="25">
        <v>2575523.77</v>
      </c>
      <c r="F212" s="26">
        <v>3058268.22</v>
      </c>
      <c r="G212" t="str">
        <f t="shared" si="3"/>
        <v>4776</v>
      </c>
      <c r="K212" s="3"/>
      <c r="L212" s="3"/>
      <c r="M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23">
        <v>4777</v>
      </c>
      <c r="B213" s="24" t="s">
        <v>900</v>
      </c>
      <c r="C213" s="25">
        <v>7592117.3899999997</v>
      </c>
      <c r="D213" s="25">
        <v>1138739.2</v>
      </c>
      <c r="E213" s="25">
        <v>4238176.04</v>
      </c>
      <c r="F213" s="26">
        <v>4450170.05</v>
      </c>
      <c r="G213" t="str">
        <f t="shared" si="3"/>
        <v>4777</v>
      </c>
      <c r="K213" s="3"/>
      <c r="L213" s="3"/>
      <c r="M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23">
        <v>4778</v>
      </c>
      <c r="B214" s="24" t="s">
        <v>901</v>
      </c>
      <c r="C214" s="25">
        <v>4907375.17</v>
      </c>
      <c r="D214" s="25">
        <v>1779507.62</v>
      </c>
      <c r="E214" s="25">
        <v>2322934.96</v>
      </c>
      <c r="F214" s="26">
        <v>2432293.81</v>
      </c>
      <c r="G214" t="str">
        <f t="shared" si="3"/>
        <v>4778</v>
      </c>
      <c r="K214" s="3"/>
      <c r="L214" s="3"/>
      <c r="M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23">
        <v>4779</v>
      </c>
      <c r="B215" s="24" t="s">
        <v>902</v>
      </c>
      <c r="C215" s="25">
        <v>26987444.789999999</v>
      </c>
      <c r="D215" s="25">
        <v>2358006.37</v>
      </c>
      <c r="E215" s="25">
        <v>2585932.2200000002</v>
      </c>
      <c r="F215" s="26">
        <v>2912687.42</v>
      </c>
      <c r="G215" t="str">
        <f t="shared" si="3"/>
        <v>4779</v>
      </c>
      <c r="K215" s="3"/>
      <c r="L215" s="3"/>
      <c r="M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23">
        <v>4784</v>
      </c>
      <c r="B216" s="24" t="s">
        <v>903</v>
      </c>
      <c r="C216" s="25">
        <v>40255488.420000002</v>
      </c>
      <c r="D216" s="25">
        <v>6764140.29</v>
      </c>
      <c r="E216" s="25">
        <v>9923944.6799999997</v>
      </c>
      <c r="F216" s="26">
        <v>10948700.199999999</v>
      </c>
      <c r="G216" t="str">
        <f t="shared" si="3"/>
        <v>4784</v>
      </c>
      <c r="K216" s="3"/>
      <c r="L216" s="3"/>
      <c r="M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23">
        <v>4785</v>
      </c>
      <c r="B217" s="24" t="s">
        <v>904</v>
      </c>
      <c r="C217" s="25">
        <v>7322480.9400000004</v>
      </c>
      <c r="D217" s="25">
        <v>1111182.46</v>
      </c>
      <c r="E217" s="25">
        <v>-177794.61</v>
      </c>
      <c r="F217" s="26">
        <v>414386.99</v>
      </c>
      <c r="G217" t="str">
        <f t="shared" si="3"/>
        <v>4785</v>
      </c>
      <c r="K217" s="3"/>
      <c r="L217" s="3"/>
      <c r="M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23">
        <v>4788</v>
      </c>
      <c r="B218" s="24" t="s">
        <v>905</v>
      </c>
      <c r="C218" s="25">
        <v>7462194.0999999996</v>
      </c>
      <c r="D218" s="25">
        <v>1540597.2</v>
      </c>
      <c r="E218" s="25">
        <v>1582267.52</v>
      </c>
      <c r="F218" s="26">
        <v>1996266.24</v>
      </c>
      <c r="G218" t="str">
        <f t="shared" si="3"/>
        <v>4788</v>
      </c>
      <c r="K218" s="3"/>
      <c r="L218" s="3"/>
      <c r="M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23">
        <v>4797</v>
      </c>
      <c r="B219" s="24" t="s">
        <v>906</v>
      </c>
      <c r="C219" s="25">
        <v>41859776.090000004</v>
      </c>
      <c r="D219" s="25">
        <v>4604800.74</v>
      </c>
      <c r="E219" s="25">
        <v>8241455.4000000004</v>
      </c>
      <c r="F219" s="26">
        <v>11328531.189999999</v>
      </c>
      <c r="G219" t="str">
        <f t="shared" si="3"/>
        <v>4797</v>
      </c>
      <c r="K219" s="3"/>
      <c r="L219" s="3"/>
      <c r="M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23">
        <v>4860</v>
      </c>
      <c r="B220" s="24" t="s">
        <v>907</v>
      </c>
      <c r="C220" s="25">
        <v>11692951.16</v>
      </c>
      <c r="D220" s="25">
        <v>1609027.4</v>
      </c>
      <c r="E220" s="25">
        <v>3682186.06</v>
      </c>
      <c r="F220" s="26">
        <v>4096084.96</v>
      </c>
      <c r="G220" t="str">
        <f t="shared" si="3"/>
        <v>4860</v>
      </c>
      <c r="K220" s="3"/>
      <c r="L220" s="3"/>
      <c r="M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23">
        <v>4869</v>
      </c>
      <c r="B221" s="24" t="s">
        <v>908</v>
      </c>
      <c r="C221" s="25">
        <v>19042989.09</v>
      </c>
      <c r="D221" s="25">
        <v>3345247.29</v>
      </c>
      <c r="E221" s="25">
        <v>4520194.26</v>
      </c>
      <c r="F221" s="26">
        <v>4977778.54</v>
      </c>
      <c r="G221" t="str">
        <f t="shared" si="3"/>
        <v>4869</v>
      </c>
      <c r="K221" s="3"/>
      <c r="L221" s="3"/>
      <c r="M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23">
        <v>4878</v>
      </c>
      <c r="B222" s="24" t="s">
        <v>909</v>
      </c>
      <c r="C222" s="25">
        <v>8735037.5299999993</v>
      </c>
      <c r="D222" s="25">
        <v>2246448.16</v>
      </c>
      <c r="E222" s="25">
        <v>3691431.45</v>
      </c>
      <c r="F222" s="26">
        <v>3950627.67</v>
      </c>
      <c r="G222" t="str">
        <f t="shared" si="3"/>
        <v>4878</v>
      </c>
      <c r="K222" s="3"/>
      <c r="L222" s="3"/>
      <c r="M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23">
        <v>4890</v>
      </c>
      <c r="B223" s="24" t="s">
        <v>910</v>
      </c>
      <c r="C223" s="25">
        <v>15799011.98</v>
      </c>
      <c r="D223" s="25">
        <v>3430113.08</v>
      </c>
      <c r="E223" s="25">
        <v>3286491.61</v>
      </c>
      <c r="F223" s="26">
        <v>3887583.97</v>
      </c>
      <c r="G223" t="str">
        <f t="shared" si="3"/>
        <v>4890</v>
      </c>
      <c r="K223" s="3"/>
      <c r="L223" s="3"/>
      <c r="M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23">
        <v>4905</v>
      </c>
      <c r="B224" s="24" t="s">
        <v>911</v>
      </c>
      <c r="C224" s="25">
        <v>2951232.32</v>
      </c>
      <c r="D224" s="25">
        <v>418837.24</v>
      </c>
      <c r="E224" s="25">
        <v>2630266.9500000002</v>
      </c>
      <c r="F224" s="26">
        <v>2977674.23</v>
      </c>
      <c r="G224" t="str">
        <f t="shared" si="3"/>
        <v>4905</v>
      </c>
      <c r="K224" s="3"/>
      <c r="L224" s="3"/>
      <c r="M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23">
        <v>4978</v>
      </c>
      <c r="B225" s="24" t="s">
        <v>912</v>
      </c>
      <c r="C225" s="25">
        <v>3313012.16</v>
      </c>
      <c r="D225" s="25">
        <v>524056.02</v>
      </c>
      <c r="E225" s="25">
        <v>508956.83</v>
      </c>
      <c r="F225" s="26">
        <v>540680.06999999995</v>
      </c>
      <c r="G225" t="str">
        <f t="shared" si="3"/>
        <v>4978</v>
      </c>
      <c r="K225" s="3"/>
      <c r="L225" s="3"/>
      <c r="M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23">
        <v>4995</v>
      </c>
      <c r="B226" s="24" t="s">
        <v>913</v>
      </c>
      <c r="C226" s="25">
        <v>12965874.01</v>
      </c>
      <c r="D226" s="25">
        <v>1725419.61</v>
      </c>
      <c r="E226" s="25">
        <v>1392340.17</v>
      </c>
      <c r="F226" s="26">
        <v>1743125.24</v>
      </c>
      <c r="G226" t="str">
        <f t="shared" si="3"/>
        <v>4995</v>
      </c>
      <c r="K226" s="3"/>
      <c r="L226" s="3"/>
      <c r="M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23">
        <v>5013</v>
      </c>
      <c r="B227" s="24" t="s">
        <v>914</v>
      </c>
      <c r="C227" s="25">
        <v>32078692.82</v>
      </c>
      <c r="D227" s="25">
        <v>5224090.12</v>
      </c>
      <c r="E227" s="25">
        <v>1989337.91</v>
      </c>
      <c r="F227" s="26">
        <v>3188813.79</v>
      </c>
      <c r="G227" t="str">
        <f t="shared" si="3"/>
        <v>5013</v>
      </c>
      <c r="K227" s="3"/>
      <c r="L227" s="3"/>
      <c r="M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23">
        <v>5049</v>
      </c>
      <c r="B228" s="24" t="s">
        <v>915</v>
      </c>
      <c r="C228" s="25">
        <v>68441775.920000002</v>
      </c>
      <c r="D228" s="25">
        <v>8796637.9299999997</v>
      </c>
      <c r="E228" s="25">
        <v>6648890.2000000002</v>
      </c>
      <c r="F228" s="26">
        <v>8588019.9800000004</v>
      </c>
      <c r="G228" t="str">
        <f t="shared" si="3"/>
        <v>5049</v>
      </c>
      <c r="K228" s="3"/>
      <c r="L228" s="3"/>
      <c r="M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23">
        <v>5121</v>
      </c>
      <c r="B229" s="24" t="s">
        <v>916</v>
      </c>
      <c r="C229" s="25">
        <v>9467178.1500000004</v>
      </c>
      <c r="D229" s="25">
        <v>1428576.51</v>
      </c>
      <c r="E229" s="25">
        <v>1463713.16</v>
      </c>
      <c r="F229" s="26">
        <v>1599241.15</v>
      </c>
      <c r="G229" t="str">
        <f t="shared" si="3"/>
        <v>5121</v>
      </c>
      <c r="K229" s="3"/>
      <c r="L229" s="3"/>
      <c r="M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23">
        <v>5139</v>
      </c>
      <c r="B230" s="24" t="s">
        <v>917</v>
      </c>
      <c r="C230" s="25">
        <v>3513210.8</v>
      </c>
      <c r="D230" s="25">
        <v>715311.03</v>
      </c>
      <c r="E230" s="25">
        <v>-38744.230000000003</v>
      </c>
      <c r="F230" s="26">
        <v>294527.78000000003</v>
      </c>
      <c r="G230" t="str">
        <f t="shared" si="3"/>
        <v>5139</v>
      </c>
      <c r="K230" s="3"/>
      <c r="L230" s="3"/>
      <c r="M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23">
        <v>5160</v>
      </c>
      <c r="B231" s="24" t="s">
        <v>918</v>
      </c>
      <c r="C231" s="25">
        <v>13993715.41</v>
      </c>
      <c r="D231" s="25">
        <v>1712886.82</v>
      </c>
      <c r="E231" s="25">
        <v>2464446.11</v>
      </c>
      <c r="F231" s="26">
        <v>2968812.22</v>
      </c>
      <c r="G231" t="str">
        <f t="shared" si="3"/>
        <v>5160</v>
      </c>
      <c r="K231" s="3"/>
      <c r="L231" s="3"/>
      <c r="M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23">
        <v>5163</v>
      </c>
      <c r="B232" s="24" t="s">
        <v>919</v>
      </c>
      <c r="C232" s="25">
        <v>9346785.9100000001</v>
      </c>
      <c r="D232" s="25">
        <v>2387963.29</v>
      </c>
      <c r="E232" s="25">
        <v>1021172.79</v>
      </c>
      <c r="F232" s="26">
        <v>1476661.44</v>
      </c>
      <c r="G232" t="str">
        <f t="shared" si="3"/>
        <v>5163</v>
      </c>
      <c r="K232" s="3"/>
      <c r="L232" s="3"/>
      <c r="M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23">
        <v>5166</v>
      </c>
      <c r="B233" s="24" t="s">
        <v>920</v>
      </c>
      <c r="C233" s="25">
        <v>31985624.890000001</v>
      </c>
      <c r="D233" s="25">
        <v>4714815.8600000003</v>
      </c>
      <c r="E233" s="25">
        <v>2262690.48</v>
      </c>
      <c r="F233" s="26">
        <v>2830606.22</v>
      </c>
      <c r="G233" t="str">
        <f t="shared" si="3"/>
        <v>5166</v>
      </c>
      <c r="K233" s="3"/>
      <c r="L233" s="3"/>
      <c r="M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23">
        <v>5184</v>
      </c>
      <c r="B234" s="24" t="s">
        <v>921</v>
      </c>
      <c r="C234" s="25">
        <v>27730643.149999999</v>
      </c>
      <c r="D234" s="25">
        <v>3745994.01</v>
      </c>
      <c r="E234" s="25">
        <v>2295506.1</v>
      </c>
      <c r="F234" s="26">
        <v>3377775.85</v>
      </c>
      <c r="G234" t="str">
        <f t="shared" si="3"/>
        <v>5184</v>
      </c>
      <c r="K234" s="3"/>
      <c r="L234" s="3"/>
      <c r="M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23">
        <v>5250</v>
      </c>
      <c r="B235" s="24" t="s">
        <v>922</v>
      </c>
      <c r="C235" s="25">
        <v>66797983.5</v>
      </c>
      <c r="D235" s="25">
        <v>6471722.4299999997</v>
      </c>
      <c r="E235" s="25">
        <v>13544628.75</v>
      </c>
      <c r="F235" s="26">
        <v>14965075.529999999</v>
      </c>
      <c r="G235" t="str">
        <f t="shared" si="3"/>
        <v>5250</v>
      </c>
      <c r="K235" s="3"/>
      <c r="L235" s="3"/>
      <c r="M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23">
        <v>5256</v>
      </c>
      <c r="B236" s="24" t="s">
        <v>923</v>
      </c>
      <c r="C236" s="25">
        <v>9572872.3499999996</v>
      </c>
      <c r="D236" s="25">
        <v>1666464.64</v>
      </c>
      <c r="E236" s="25">
        <v>2261751.56</v>
      </c>
      <c r="F236" s="26">
        <v>2267233.83</v>
      </c>
      <c r="G236" t="str">
        <f t="shared" si="3"/>
        <v>5256</v>
      </c>
      <c r="K236" s="3"/>
      <c r="L236" s="3"/>
      <c r="M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23">
        <v>5283</v>
      </c>
      <c r="B237" s="24" t="s">
        <v>924</v>
      </c>
      <c r="C237" s="25">
        <v>11196984.050000001</v>
      </c>
      <c r="D237" s="25">
        <v>3427933.84</v>
      </c>
      <c r="E237" s="25">
        <v>2685158.17</v>
      </c>
      <c r="F237" s="26">
        <v>3035055.79</v>
      </c>
      <c r="G237" t="str">
        <f t="shared" si="3"/>
        <v>5283</v>
      </c>
      <c r="K237" s="3"/>
      <c r="L237" s="3"/>
      <c r="M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23">
        <v>5310</v>
      </c>
      <c r="B238" s="24" t="s">
        <v>925</v>
      </c>
      <c r="C238" s="25">
        <v>10425794.529999999</v>
      </c>
      <c r="D238" s="25">
        <v>1443226.47</v>
      </c>
      <c r="E238" s="25">
        <v>2667457.4500000002</v>
      </c>
      <c r="F238" s="26">
        <v>3057787.89</v>
      </c>
      <c r="G238" t="str">
        <f t="shared" si="3"/>
        <v>5310</v>
      </c>
      <c r="K238" s="3"/>
      <c r="L238" s="3"/>
      <c r="M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23">
        <v>5463</v>
      </c>
      <c r="B239" s="24" t="s">
        <v>926</v>
      </c>
      <c r="C239" s="25">
        <v>14535910.67</v>
      </c>
      <c r="D239" s="25">
        <v>1947807.15</v>
      </c>
      <c r="E239" s="25">
        <v>3324188.67</v>
      </c>
      <c r="F239" s="26">
        <v>4384603.53</v>
      </c>
      <c r="G239" t="str">
        <f t="shared" si="3"/>
        <v>5463</v>
      </c>
      <c r="K239" s="3"/>
      <c r="L239" s="3"/>
      <c r="M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23">
        <v>5486</v>
      </c>
      <c r="B240" s="24" t="s">
        <v>927</v>
      </c>
      <c r="C240" s="25">
        <v>5751628.2300000004</v>
      </c>
      <c r="D240" s="25">
        <v>1737481.44</v>
      </c>
      <c r="E240" s="25">
        <v>1670786.13</v>
      </c>
      <c r="F240" s="26">
        <v>2024116.04</v>
      </c>
      <c r="G240" t="str">
        <f t="shared" si="3"/>
        <v>5486</v>
      </c>
      <c r="K240" s="3"/>
      <c r="L240" s="3"/>
      <c r="M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23">
        <v>5508</v>
      </c>
      <c r="B241" s="24" t="s">
        <v>928</v>
      </c>
      <c r="C241" s="25">
        <v>6143750.3899999997</v>
      </c>
      <c r="D241" s="25">
        <v>1453938.28</v>
      </c>
      <c r="E241" s="25">
        <v>1132113.01</v>
      </c>
      <c r="F241" s="26">
        <v>1132113.01</v>
      </c>
      <c r="G241" t="str">
        <f t="shared" si="3"/>
        <v>5508</v>
      </c>
      <c r="K241" s="3"/>
      <c r="L241" s="3"/>
      <c r="M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23">
        <v>5510</v>
      </c>
      <c r="B242" s="24" t="s">
        <v>929</v>
      </c>
      <c r="C242" s="25">
        <v>10875037.060000001</v>
      </c>
      <c r="D242" s="25">
        <v>1144336.3799999999</v>
      </c>
      <c r="E242" s="25">
        <v>972296.4</v>
      </c>
      <c r="F242" s="26">
        <v>1132521.28</v>
      </c>
      <c r="G242" t="str">
        <f t="shared" si="3"/>
        <v>5510</v>
      </c>
      <c r="K242" s="3"/>
      <c r="L242" s="3"/>
      <c r="M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23">
        <v>5607</v>
      </c>
      <c r="B243" s="24" t="s">
        <v>930</v>
      </c>
      <c r="C243" s="25">
        <v>11562591.1</v>
      </c>
      <c r="D243" s="25">
        <v>1860394.39</v>
      </c>
      <c r="E243" s="25">
        <v>3807387.21</v>
      </c>
      <c r="F243" s="26">
        <v>4184695.51</v>
      </c>
      <c r="G243" t="str">
        <f t="shared" si="3"/>
        <v>5607</v>
      </c>
      <c r="K243" s="3"/>
      <c r="L243" s="3"/>
      <c r="M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23">
        <v>5643</v>
      </c>
      <c r="B244" s="24" t="s">
        <v>931</v>
      </c>
      <c r="C244" s="25">
        <v>13225550.5</v>
      </c>
      <c r="D244" s="25">
        <v>2005806.52</v>
      </c>
      <c r="E244" s="25">
        <v>2660401.56</v>
      </c>
      <c r="F244" s="26">
        <v>2995387.44</v>
      </c>
      <c r="G244" t="str">
        <f t="shared" si="3"/>
        <v>5643</v>
      </c>
      <c r="K244" s="3"/>
      <c r="L244" s="3"/>
      <c r="M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23">
        <v>5697</v>
      </c>
      <c r="B245" s="24" t="s">
        <v>932</v>
      </c>
      <c r="C245" s="25">
        <v>6446783.04</v>
      </c>
      <c r="D245" s="25">
        <v>1015447.12</v>
      </c>
      <c r="E245" s="25">
        <v>1328066.6599999999</v>
      </c>
      <c r="F245" s="26">
        <v>1530827.82</v>
      </c>
      <c r="G245" t="str">
        <f t="shared" si="3"/>
        <v>5697</v>
      </c>
      <c r="K245" s="3"/>
      <c r="L245" s="3"/>
      <c r="M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23">
        <v>5724</v>
      </c>
      <c r="B246" s="24" t="s">
        <v>933</v>
      </c>
      <c r="C246" s="25">
        <v>3472390.37</v>
      </c>
      <c r="D246" s="25">
        <v>631689.01</v>
      </c>
      <c r="E246" s="25">
        <v>693200.91</v>
      </c>
      <c r="F246" s="26">
        <v>937368.87</v>
      </c>
      <c r="G246" t="str">
        <f t="shared" si="3"/>
        <v>5724</v>
      </c>
      <c r="K246" s="3"/>
      <c r="L246" s="3"/>
      <c r="M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23">
        <v>5751</v>
      </c>
      <c r="B247" s="24" t="s">
        <v>934</v>
      </c>
      <c r="C247" s="25">
        <v>8149126.8799999999</v>
      </c>
      <c r="D247" s="25">
        <v>1446266.49</v>
      </c>
      <c r="E247" s="25">
        <v>1155841.3899999999</v>
      </c>
      <c r="F247" s="26">
        <v>1513360.42</v>
      </c>
      <c r="G247" t="str">
        <f t="shared" si="3"/>
        <v>5751</v>
      </c>
      <c r="K247" s="3"/>
      <c r="L247" s="3"/>
      <c r="M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23">
        <v>5805</v>
      </c>
      <c r="B248" s="24" t="s">
        <v>935</v>
      </c>
      <c r="C248" s="25">
        <v>18984988.91</v>
      </c>
      <c r="D248" s="25">
        <v>5605665.9100000001</v>
      </c>
      <c r="E248" s="25">
        <v>3273726.6</v>
      </c>
      <c r="F248" s="26">
        <v>4030072.4</v>
      </c>
      <c r="G248" t="str">
        <f t="shared" si="3"/>
        <v>5805</v>
      </c>
      <c r="K248" s="3"/>
      <c r="L248" s="3"/>
      <c r="M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23">
        <v>5823</v>
      </c>
      <c r="B249" s="24" t="s">
        <v>936</v>
      </c>
      <c r="C249" s="25">
        <v>6000011.04</v>
      </c>
      <c r="D249" s="25">
        <v>1424341.59</v>
      </c>
      <c r="E249" s="25">
        <v>2031759.02</v>
      </c>
      <c r="F249" s="26">
        <v>2397830.02</v>
      </c>
      <c r="G249" t="str">
        <f t="shared" si="3"/>
        <v>5823</v>
      </c>
      <c r="K249" s="3"/>
      <c r="L249" s="3"/>
      <c r="M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23">
        <v>5832</v>
      </c>
      <c r="B250" s="24" t="s">
        <v>937</v>
      </c>
      <c r="C250" s="25">
        <v>3889674.74</v>
      </c>
      <c r="D250" s="25">
        <v>545943.11</v>
      </c>
      <c r="E250" s="25">
        <v>944836.28</v>
      </c>
      <c r="F250" s="26">
        <v>1066501.67</v>
      </c>
      <c r="G250" t="str">
        <f t="shared" si="3"/>
        <v>5832</v>
      </c>
      <c r="K250" s="3"/>
      <c r="L250" s="3"/>
      <c r="M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23">
        <v>5877</v>
      </c>
      <c r="B251" s="24" t="s">
        <v>938</v>
      </c>
      <c r="C251" s="25">
        <v>21885813.859999999</v>
      </c>
      <c r="D251" s="25">
        <v>4383866.12</v>
      </c>
      <c r="E251" s="25">
        <v>2906506.24</v>
      </c>
      <c r="F251" s="26">
        <v>3002500.84</v>
      </c>
      <c r="G251" t="str">
        <f t="shared" si="3"/>
        <v>5877</v>
      </c>
      <c r="K251" s="3"/>
      <c r="L251" s="3"/>
      <c r="M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23">
        <v>5895</v>
      </c>
      <c r="B252" s="24" t="s">
        <v>939</v>
      </c>
      <c r="C252" s="25">
        <v>4222680.17</v>
      </c>
      <c r="D252" s="25">
        <v>1009331.64</v>
      </c>
      <c r="E252" s="25">
        <v>1025095.61</v>
      </c>
      <c r="F252" s="26">
        <v>1058771.1299999999</v>
      </c>
      <c r="G252" t="str">
        <f t="shared" si="3"/>
        <v>5895</v>
      </c>
      <c r="K252" s="3"/>
      <c r="L252" s="3"/>
      <c r="M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23">
        <v>5922</v>
      </c>
      <c r="B253" s="24" t="s">
        <v>940</v>
      </c>
      <c r="C253" s="25">
        <v>11045535.779999999</v>
      </c>
      <c r="D253" s="25">
        <v>1732804.47</v>
      </c>
      <c r="E253" s="25">
        <v>1937204.97</v>
      </c>
      <c r="F253" s="26">
        <v>2196570.5099999998</v>
      </c>
      <c r="G253" t="str">
        <f t="shared" si="3"/>
        <v>5922</v>
      </c>
      <c r="K253" s="3"/>
      <c r="L253" s="3"/>
      <c r="M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23">
        <v>5949</v>
      </c>
      <c r="B254" s="24" t="s">
        <v>941</v>
      </c>
      <c r="C254" s="25">
        <v>14850358.619999999</v>
      </c>
      <c r="D254" s="25">
        <v>1980468.7</v>
      </c>
      <c r="E254" s="25">
        <v>6460165.7699999996</v>
      </c>
      <c r="F254" s="26">
        <v>6745628.4000000004</v>
      </c>
      <c r="G254" t="str">
        <f t="shared" si="3"/>
        <v>5949</v>
      </c>
      <c r="K254" s="3"/>
      <c r="L254" s="3"/>
      <c r="M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23">
        <v>5976</v>
      </c>
      <c r="B255" s="24" t="s">
        <v>942</v>
      </c>
      <c r="C255" s="25">
        <v>15555949.199999999</v>
      </c>
      <c r="D255" s="25">
        <v>2437265.3199999998</v>
      </c>
      <c r="E255" s="25">
        <v>761666.15</v>
      </c>
      <c r="F255" s="26">
        <v>874441.95</v>
      </c>
      <c r="G255" t="str">
        <f t="shared" si="3"/>
        <v>5976</v>
      </c>
      <c r="K255" s="3"/>
      <c r="L255" s="3"/>
      <c r="M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23">
        <v>5994</v>
      </c>
      <c r="B256" s="24" t="s">
        <v>943</v>
      </c>
      <c r="C256" s="25">
        <v>10012062.9</v>
      </c>
      <c r="D256" s="25">
        <v>1516175.14</v>
      </c>
      <c r="E256" s="25">
        <v>3471226.68</v>
      </c>
      <c r="F256" s="26">
        <v>3643378.71</v>
      </c>
      <c r="G256" t="str">
        <f t="shared" si="3"/>
        <v>5994</v>
      </c>
      <c r="K256" s="3"/>
      <c r="L256" s="3"/>
      <c r="M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23">
        <v>6003</v>
      </c>
      <c r="B257" s="24" t="s">
        <v>944</v>
      </c>
      <c r="C257" s="25">
        <v>9670321.8599999994</v>
      </c>
      <c r="D257" s="25">
        <v>4083324.05</v>
      </c>
      <c r="E257" s="25">
        <v>232719.54</v>
      </c>
      <c r="F257" s="26">
        <v>823749.6</v>
      </c>
      <c r="G257" t="str">
        <f t="shared" si="3"/>
        <v>6003</v>
      </c>
      <c r="K257" s="3"/>
      <c r="L257" s="3"/>
      <c r="M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23">
        <v>6012</v>
      </c>
      <c r="B258" s="24" t="s">
        <v>945</v>
      </c>
      <c r="C258" s="25">
        <v>8170638.0099999998</v>
      </c>
      <c r="D258" s="25">
        <v>1402666.82</v>
      </c>
      <c r="E258" s="25">
        <v>2013632.68</v>
      </c>
      <c r="F258" s="26">
        <v>2332256.5499999998</v>
      </c>
      <c r="G258" t="str">
        <f t="shared" si="3"/>
        <v>6012</v>
      </c>
      <c r="K258" s="3"/>
      <c r="L258" s="3"/>
      <c r="M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23">
        <v>6030</v>
      </c>
      <c r="B259" s="24" t="s">
        <v>946</v>
      </c>
      <c r="C259" s="25">
        <v>20599064.199999999</v>
      </c>
      <c r="D259" s="25">
        <v>2640982.7999999998</v>
      </c>
      <c r="E259" s="25">
        <v>5002989.87</v>
      </c>
      <c r="F259" s="26">
        <v>5176072.3</v>
      </c>
      <c r="G259" t="str">
        <f t="shared" si="3"/>
        <v>6030</v>
      </c>
      <c r="K259" s="3"/>
      <c r="L259" s="3"/>
      <c r="M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23">
        <v>6035</v>
      </c>
      <c r="B260" s="24" t="s">
        <v>947</v>
      </c>
      <c r="C260" s="25">
        <v>8656889.0399999991</v>
      </c>
      <c r="D260" s="25">
        <v>3044797.22</v>
      </c>
      <c r="E260" s="25">
        <v>3929590.22</v>
      </c>
      <c r="F260" s="26">
        <v>4381794.71</v>
      </c>
      <c r="G260" t="str">
        <f t="shared" si="3"/>
        <v>6035</v>
      </c>
      <c r="K260" s="3"/>
      <c r="L260" s="3"/>
      <c r="M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23">
        <v>6039</v>
      </c>
      <c r="B261" s="24" t="s">
        <v>948</v>
      </c>
      <c r="C261" s="25">
        <v>201689374.34999999</v>
      </c>
      <c r="D261" s="25">
        <v>35545210.060000002</v>
      </c>
      <c r="E261" s="25">
        <v>76080587.109999999</v>
      </c>
      <c r="F261" s="26">
        <v>81530279.560000002</v>
      </c>
      <c r="G261" t="str">
        <f t="shared" ref="G261:G324" si="4">TEXT(A261,"0000")</f>
        <v>6039</v>
      </c>
      <c r="K261" s="3"/>
      <c r="L261" s="3"/>
      <c r="M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23">
        <v>6091</v>
      </c>
      <c r="B262" s="24" t="s">
        <v>949</v>
      </c>
      <c r="C262" s="25">
        <v>13181660.1</v>
      </c>
      <c r="D262" s="25">
        <v>1722463.42</v>
      </c>
      <c r="E262" s="25">
        <v>8383561.7199999997</v>
      </c>
      <c r="F262" s="26">
        <v>8538401.6899999995</v>
      </c>
      <c r="G262" t="str">
        <f t="shared" si="4"/>
        <v>6091</v>
      </c>
      <c r="K262" s="3"/>
      <c r="L262" s="3"/>
      <c r="M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23">
        <v>6093</v>
      </c>
      <c r="B263" s="24" t="s">
        <v>950</v>
      </c>
      <c r="C263" s="25">
        <v>17150608.170000002</v>
      </c>
      <c r="D263" s="25">
        <v>1229208.1499999999</v>
      </c>
      <c r="E263" s="25">
        <v>3544518.45</v>
      </c>
      <c r="F263" s="26">
        <v>4242873.57</v>
      </c>
      <c r="G263" t="str">
        <f t="shared" si="4"/>
        <v>6093</v>
      </c>
      <c r="K263" s="3"/>
      <c r="L263" s="3"/>
      <c r="M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23">
        <v>6094</v>
      </c>
      <c r="B264" s="24" t="s">
        <v>951</v>
      </c>
      <c r="C264" s="25">
        <v>7813217.2300000004</v>
      </c>
      <c r="D264" s="25">
        <v>1009255.24</v>
      </c>
      <c r="E264" s="25">
        <v>372021.97</v>
      </c>
      <c r="F264" s="26">
        <v>589881.59</v>
      </c>
      <c r="G264" t="str">
        <f t="shared" si="4"/>
        <v>6094</v>
      </c>
      <c r="K264" s="3"/>
      <c r="L264" s="3"/>
      <c r="M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23">
        <v>6095</v>
      </c>
      <c r="B265" s="24" t="s">
        <v>952</v>
      </c>
      <c r="C265" s="25">
        <v>8847735.1300000008</v>
      </c>
      <c r="D265" s="25">
        <v>1847287.66</v>
      </c>
      <c r="E265" s="25">
        <v>3105545.45</v>
      </c>
      <c r="F265" s="26">
        <v>3485788.27</v>
      </c>
      <c r="G265" t="str">
        <f t="shared" si="4"/>
        <v>6095</v>
      </c>
      <c r="K265" s="3"/>
      <c r="L265" s="3"/>
      <c r="M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23">
        <v>6096</v>
      </c>
      <c r="B266" s="24" t="s">
        <v>1016</v>
      </c>
      <c r="C266" s="25">
        <v>17187653.649999999</v>
      </c>
      <c r="D266" s="25">
        <v>2323505.02</v>
      </c>
      <c r="E266" s="25">
        <v>6486257.1500000004</v>
      </c>
      <c r="F266" s="26">
        <v>6662826.2699999996</v>
      </c>
      <c r="G266" t="str">
        <f t="shared" si="4"/>
        <v>6096</v>
      </c>
      <c r="K266" s="3"/>
      <c r="L266" s="3"/>
      <c r="M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23">
        <v>6097</v>
      </c>
      <c r="B267" s="24" t="s">
        <v>953</v>
      </c>
      <c r="C267" s="25">
        <v>3143415.35</v>
      </c>
      <c r="D267" s="25">
        <v>410007.38</v>
      </c>
      <c r="E267" s="25">
        <v>947055.3</v>
      </c>
      <c r="F267" s="26">
        <v>951663.27</v>
      </c>
      <c r="G267" t="str">
        <f t="shared" si="4"/>
        <v>6097</v>
      </c>
      <c r="K267" s="3"/>
      <c r="L267" s="3"/>
      <c r="M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23">
        <v>6098</v>
      </c>
      <c r="B268" s="24" t="s">
        <v>678</v>
      </c>
      <c r="C268" s="25">
        <v>20901632.09</v>
      </c>
      <c r="D268" s="25">
        <v>4610609.58</v>
      </c>
      <c r="E268" s="25">
        <v>3582333.07</v>
      </c>
      <c r="F268" s="26">
        <v>4125235.33</v>
      </c>
      <c r="G268" t="str">
        <f t="shared" si="4"/>
        <v>6098</v>
      </c>
      <c r="K268" s="3"/>
      <c r="L268" s="3"/>
      <c r="M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23">
        <v>6099</v>
      </c>
      <c r="B269" s="24" t="s">
        <v>954</v>
      </c>
      <c r="C269" s="25">
        <v>7978528.71</v>
      </c>
      <c r="D269" s="25">
        <v>1092292.3</v>
      </c>
      <c r="E269" s="25">
        <v>1622180.52</v>
      </c>
      <c r="F269" s="26">
        <v>2216074.2999999998</v>
      </c>
      <c r="G269" t="str">
        <f t="shared" si="4"/>
        <v>6099</v>
      </c>
      <c r="K269" s="3"/>
      <c r="L269" s="3"/>
      <c r="M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23">
        <v>6100</v>
      </c>
      <c r="B270" s="24" t="s">
        <v>955</v>
      </c>
      <c r="C270" s="25">
        <v>8509481.2699999996</v>
      </c>
      <c r="D270" s="25">
        <v>1239358.51</v>
      </c>
      <c r="E270" s="25">
        <v>1223171.8400000001</v>
      </c>
      <c r="F270" s="26">
        <v>1308290.92</v>
      </c>
      <c r="G270" t="str">
        <f t="shared" si="4"/>
        <v>6100</v>
      </c>
      <c r="K270" s="3"/>
      <c r="L270" s="3"/>
      <c r="M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23">
        <v>6101</v>
      </c>
      <c r="B271" s="24" t="s">
        <v>956</v>
      </c>
      <c r="C271" s="25">
        <v>101299760.43000001</v>
      </c>
      <c r="D271" s="25">
        <v>13296858.84</v>
      </c>
      <c r="E271" s="25">
        <v>11728238.460000001</v>
      </c>
      <c r="F271" s="26">
        <v>15855039.529999999</v>
      </c>
      <c r="G271" t="str">
        <f t="shared" si="4"/>
        <v>6101</v>
      </c>
      <c r="K271" s="3"/>
      <c r="L271" s="3"/>
      <c r="M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23">
        <v>6102</v>
      </c>
      <c r="B272" s="24" t="s">
        <v>957</v>
      </c>
      <c r="C272" s="25">
        <v>29604483.18</v>
      </c>
      <c r="D272" s="25">
        <v>4510749.7</v>
      </c>
      <c r="E272" s="25">
        <v>5166817.1399999997</v>
      </c>
      <c r="F272" s="26">
        <v>5667088.1299999999</v>
      </c>
      <c r="G272" t="str">
        <f t="shared" si="4"/>
        <v>6102</v>
      </c>
      <c r="K272" s="3"/>
      <c r="L272" s="3"/>
      <c r="M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23">
        <v>6120</v>
      </c>
      <c r="B273" s="24" t="s">
        <v>958</v>
      </c>
      <c r="C273" s="25">
        <v>16043864.460000001</v>
      </c>
      <c r="D273" s="25">
        <v>2339620.64</v>
      </c>
      <c r="E273" s="25">
        <v>3326718.27</v>
      </c>
      <c r="F273" s="26">
        <v>3623164.77</v>
      </c>
      <c r="G273" t="str">
        <f t="shared" si="4"/>
        <v>6120</v>
      </c>
      <c r="K273" s="3"/>
      <c r="L273" s="3"/>
      <c r="M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23">
        <v>6138</v>
      </c>
      <c r="B274" s="24" t="s">
        <v>959</v>
      </c>
      <c r="C274" s="25">
        <v>6191673.0499999998</v>
      </c>
      <c r="D274" s="25">
        <v>1479501.5</v>
      </c>
      <c r="E274" s="25">
        <v>1133789.27</v>
      </c>
      <c r="F274" s="26">
        <v>1366437.32</v>
      </c>
      <c r="G274" t="str">
        <f t="shared" si="4"/>
        <v>6138</v>
      </c>
      <c r="K274" s="3"/>
      <c r="L274" s="3"/>
      <c r="M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23">
        <v>6165</v>
      </c>
      <c r="B275" s="24" t="s">
        <v>960</v>
      </c>
      <c r="C275" s="25">
        <v>3738054.03</v>
      </c>
      <c r="D275" s="25">
        <v>1488225.38</v>
      </c>
      <c r="E275" s="25">
        <v>1446943.47</v>
      </c>
      <c r="F275" s="26">
        <v>1707385.07</v>
      </c>
      <c r="G275" t="str">
        <f t="shared" si="4"/>
        <v>6165</v>
      </c>
      <c r="K275" s="3"/>
      <c r="L275" s="3"/>
      <c r="M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23">
        <v>6175</v>
      </c>
      <c r="B276" s="24" t="s">
        <v>961</v>
      </c>
      <c r="C276" s="25">
        <v>8879419.3000000007</v>
      </c>
      <c r="D276" s="25">
        <v>1757280.67</v>
      </c>
      <c r="E276" s="25">
        <v>3584348.36</v>
      </c>
      <c r="F276" s="26">
        <v>3811494.92</v>
      </c>
      <c r="G276" t="str">
        <f t="shared" si="4"/>
        <v>6175</v>
      </c>
      <c r="K276" s="3"/>
      <c r="L276" s="3"/>
      <c r="M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23">
        <v>6219</v>
      </c>
      <c r="B277" s="24" t="s">
        <v>962</v>
      </c>
      <c r="C277" s="25">
        <v>42442954.850000001</v>
      </c>
      <c r="D277" s="25">
        <v>8884760.8599999994</v>
      </c>
      <c r="E277" s="25">
        <v>2136399.09</v>
      </c>
      <c r="F277" s="26">
        <v>4305142.37</v>
      </c>
      <c r="G277" t="str">
        <f t="shared" si="4"/>
        <v>6219</v>
      </c>
      <c r="K277" s="3"/>
      <c r="L277" s="3"/>
      <c r="M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23">
        <v>6246</v>
      </c>
      <c r="B278" s="24" t="s">
        <v>963</v>
      </c>
      <c r="C278" s="25">
        <v>2487882.96</v>
      </c>
      <c r="D278" s="25">
        <v>560339.49</v>
      </c>
      <c r="E278" s="25">
        <v>126394.09</v>
      </c>
      <c r="F278" s="26">
        <v>265599.39</v>
      </c>
      <c r="G278" t="str">
        <f t="shared" si="4"/>
        <v>6246</v>
      </c>
      <c r="K278" s="3"/>
      <c r="L278" s="3"/>
      <c r="M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23">
        <v>6264</v>
      </c>
      <c r="B279" s="24" t="s">
        <v>964</v>
      </c>
      <c r="C279" s="25">
        <v>13262946.949999999</v>
      </c>
      <c r="D279" s="25">
        <v>1852950.55</v>
      </c>
      <c r="E279" s="25">
        <v>3070419.79</v>
      </c>
      <c r="F279" s="26">
        <v>3491700.27</v>
      </c>
      <c r="G279" t="str">
        <f t="shared" si="4"/>
        <v>6264</v>
      </c>
      <c r="K279" s="3"/>
      <c r="L279" s="3"/>
      <c r="M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23">
        <v>6273</v>
      </c>
      <c r="B280" s="24" t="s">
        <v>965</v>
      </c>
      <c r="C280" s="25">
        <v>10954106.130000001</v>
      </c>
      <c r="D280" s="25">
        <v>1306383.3999999999</v>
      </c>
      <c r="E280" s="25">
        <v>1440949.4</v>
      </c>
      <c r="F280" s="26">
        <v>2663891.63</v>
      </c>
      <c r="G280" t="str">
        <f t="shared" si="4"/>
        <v>6273</v>
      </c>
      <c r="K280" s="3"/>
      <c r="L280" s="3"/>
      <c r="M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23">
        <v>6408</v>
      </c>
      <c r="B281" s="24" t="s">
        <v>966</v>
      </c>
      <c r="C281" s="25">
        <v>11768305.32</v>
      </c>
      <c r="D281" s="25">
        <v>1752183.01</v>
      </c>
      <c r="E281" s="25">
        <v>2012894.37</v>
      </c>
      <c r="F281" s="26">
        <v>2526660.04</v>
      </c>
      <c r="G281" t="str">
        <f t="shared" si="4"/>
        <v>6408</v>
      </c>
      <c r="K281" s="3"/>
      <c r="L281" s="3"/>
      <c r="M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23">
        <v>6453</v>
      </c>
      <c r="B282" s="24" t="s">
        <v>967</v>
      </c>
      <c r="C282" s="25">
        <v>9144390.3699999992</v>
      </c>
      <c r="D282" s="25">
        <v>2896583.96</v>
      </c>
      <c r="E282" s="25">
        <v>2257153.61</v>
      </c>
      <c r="F282" s="26">
        <v>2567471.44</v>
      </c>
      <c r="G282" t="str">
        <f t="shared" si="4"/>
        <v>6453</v>
      </c>
      <c r="K282" s="3"/>
      <c r="L282" s="3"/>
      <c r="M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23">
        <v>6460</v>
      </c>
      <c r="B283" s="24" t="s">
        <v>968</v>
      </c>
      <c r="C283" s="25">
        <v>9215071.0800000001</v>
      </c>
      <c r="D283" s="25">
        <v>1886230.78</v>
      </c>
      <c r="E283" s="25">
        <v>3869147.37</v>
      </c>
      <c r="F283" s="26">
        <v>3929023.59</v>
      </c>
      <c r="G283" t="str">
        <f t="shared" si="4"/>
        <v>6460</v>
      </c>
      <c r="K283" s="3"/>
      <c r="L283" s="3"/>
      <c r="M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23">
        <v>6462</v>
      </c>
      <c r="B284" s="24" t="s">
        <v>969</v>
      </c>
      <c r="C284" s="25">
        <v>4220802.07</v>
      </c>
      <c r="D284" s="25">
        <v>443472.36</v>
      </c>
      <c r="E284" s="25">
        <v>1540160.54</v>
      </c>
      <c r="F284" s="26">
        <v>1715013.9</v>
      </c>
      <c r="G284" t="str">
        <f t="shared" si="4"/>
        <v>6462</v>
      </c>
      <c r="K284" s="3"/>
      <c r="L284" s="3"/>
      <c r="M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23">
        <v>6471</v>
      </c>
      <c r="B285" s="24" t="s">
        <v>970</v>
      </c>
      <c r="C285" s="25">
        <v>6689991</v>
      </c>
      <c r="D285" s="25">
        <v>860255.38</v>
      </c>
      <c r="E285" s="25">
        <v>-333057.67</v>
      </c>
      <c r="F285" s="26">
        <v>-222332.26</v>
      </c>
      <c r="G285" t="str">
        <f t="shared" si="4"/>
        <v>6471</v>
      </c>
      <c r="K285" s="3"/>
      <c r="L285" s="3"/>
      <c r="M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23">
        <v>6509</v>
      </c>
      <c r="B286" s="24" t="s">
        <v>971</v>
      </c>
      <c r="C286" s="25">
        <v>6548025.3099999996</v>
      </c>
      <c r="D286" s="25">
        <v>1406466.54</v>
      </c>
      <c r="E286" s="25">
        <v>1349145.26</v>
      </c>
      <c r="F286" s="26">
        <v>1609477.36</v>
      </c>
      <c r="G286" t="str">
        <f t="shared" si="4"/>
        <v>6509</v>
      </c>
      <c r="K286" s="3"/>
      <c r="L286" s="3"/>
      <c r="M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23">
        <v>6512</v>
      </c>
      <c r="B287" s="24" t="s">
        <v>972</v>
      </c>
      <c r="C287" s="25">
        <v>5146099.08</v>
      </c>
      <c r="D287" s="25">
        <v>1213048.8500000001</v>
      </c>
      <c r="E287" s="25">
        <v>1877174.15</v>
      </c>
      <c r="F287" s="26">
        <v>1954663.74</v>
      </c>
      <c r="G287" t="str">
        <f t="shared" si="4"/>
        <v>6512</v>
      </c>
      <c r="K287" s="3"/>
      <c r="L287" s="3"/>
      <c r="M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23">
        <v>6516</v>
      </c>
      <c r="B288" s="24" t="s">
        <v>973</v>
      </c>
      <c r="C288" s="25">
        <v>2989786.82</v>
      </c>
      <c r="D288" s="25">
        <v>422250.36</v>
      </c>
      <c r="E288" s="25">
        <v>1790106.82</v>
      </c>
      <c r="F288" s="26">
        <v>1842455.77</v>
      </c>
      <c r="G288" t="str">
        <f t="shared" si="4"/>
        <v>6516</v>
      </c>
      <c r="K288" s="3"/>
      <c r="L288" s="3"/>
      <c r="M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23">
        <v>6534</v>
      </c>
      <c r="B289" s="24" t="s">
        <v>974</v>
      </c>
      <c r="C289" s="25">
        <v>10254271.07</v>
      </c>
      <c r="D289" s="25">
        <v>2397459.48</v>
      </c>
      <c r="E289" s="25">
        <v>1324812.67</v>
      </c>
      <c r="F289" s="26">
        <v>1830733.6</v>
      </c>
      <c r="G289" t="str">
        <f t="shared" si="4"/>
        <v>6534</v>
      </c>
      <c r="K289" s="3"/>
      <c r="L289" s="3"/>
      <c r="M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23">
        <v>6536</v>
      </c>
      <c r="B290" s="24" t="s">
        <v>975</v>
      </c>
      <c r="C290" s="25">
        <v>13681562.210000001</v>
      </c>
      <c r="D290" s="25">
        <v>1961914.47</v>
      </c>
      <c r="E290" s="25">
        <v>2671518.79</v>
      </c>
      <c r="F290" s="26">
        <v>3584316.19</v>
      </c>
      <c r="G290" t="str">
        <f t="shared" si="4"/>
        <v>6536</v>
      </c>
      <c r="K290" s="3"/>
      <c r="L290" s="3"/>
      <c r="M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23">
        <v>6561</v>
      </c>
      <c r="B291" s="24" t="s">
        <v>976</v>
      </c>
      <c r="C291" s="25">
        <v>6063563.1699999999</v>
      </c>
      <c r="D291" s="25">
        <v>1557982.82</v>
      </c>
      <c r="E291" s="25">
        <v>2825565.17</v>
      </c>
      <c r="F291" s="26">
        <v>3063551.12</v>
      </c>
      <c r="G291" t="str">
        <f t="shared" si="4"/>
        <v>6561</v>
      </c>
      <c r="K291" s="3"/>
      <c r="L291" s="3"/>
      <c r="M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23">
        <v>6579</v>
      </c>
      <c r="B292" s="24" t="s">
        <v>977</v>
      </c>
      <c r="C292" s="25">
        <v>56216780.149999999</v>
      </c>
      <c r="D292" s="25">
        <v>11962603.310000001</v>
      </c>
      <c r="E292" s="25">
        <v>3934245.21</v>
      </c>
      <c r="F292" s="26">
        <v>5508109.46</v>
      </c>
      <c r="G292" t="str">
        <f t="shared" si="4"/>
        <v>6579</v>
      </c>
      <c r="K292" s="3"/>
      <c r="L292" s="3"/>
      <c r="M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23">
        <v>6592</v>
      </c>
      <c r="B293" s="24" t="s">
        <v>978</v>
      </c>
      <c r="C293" s="25">
        <v>13818404.91</v>
      </c>
      <c r="D293" s="25">
        <v>2085679.1</v>
      </c>
      <c r="E293" s="25">
        <v>6333588.9299999997</v>
      </c>
      <c r="F293" s="26">
        <v>7185584.3099999996</v>
      </c>
      <c r="G293" t="str">
        <f t="shared" si="4"/>
        <v>6592</v>
      </c>
      <c r="K293" s="3"/>
      <c r="L293" s="3"/>
      <c r="M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23">
        <v>6615</v>
      </c>
      <c r="B294" s="24" t="s">
        <v>979</v>
      </c>
      <c r="C294" s="25">
        <v>11465313.960000001</v>
      </c>
      <c r="D294" s="25">
        <v>2010190.26</v>
      </c>
      <c r="E294" s="25">
        <v>3535288.3199999998</v>
      </c>
      <c r="F294" s="26">
        <v>3654277.34</v>
      </c>
      <c r="G294" t="str">
        <f t="shared" si="4"/>
        <v>6615</v>
      </c>
      <c r="K294" s="3"/>
      <c r="L294" s="3"/>
      <c r="M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23">
        <v>6651</v>
      </c>
      <c r="B295" s="24" t="s">
        <v>980</v>
      </c>
      <c r="C295" s="25">
        <v>5060362.42</v>
      </c>
      <c r="D295" s="25">
        <v>1313414.93</v>
      </c>
      <c r="E295" s="25">
        <v>1207909.55</v>
      </c>
      <c r="F295" s="26">
        <v>1207909.55</v>
      </c>
      <c r="G295" t="str">
        <f t="shared" si="4"/>
        <v>6651</v>
      </c>
      <c r="K295" s="3"/>
      <c r="L295" s="3"/>
      <c r="M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23">
        <v>6660</v>
      </c>
      <c r="B296" s="24" t="s">
        <v>981</v>
      </c>
      <c r="C296" s="25">
        <v>22424580.010000002</v>
      </c>
      <c r="D296" s="25">
        <v>2686458.61</v>
      </c>
      <c r="E296" s="25">
        <v>1562910.87</v>
      </c>
      <c r="F296" s="26">
        <v>2065011.88</v>
      </c>
      <c r="G296" t="str">
        <f t="shared" si="4"/>
        <v>6660</v>
      </c>
      <c r="K296" s="3"/>
      <c r="L296" s="3"/>
      <c r="M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23">
        <v>6700</v>
      </c>
      <c r="B297" s="24" t="s">
        <v>1015</v>
      </c>
      <c r="C297" s="25">
        <v>7459892.8200000003</v>
      </c>
      <c r="D297" s="25">
        <v>1611303.04</v>
      </c>
      <c r="E297" s="25">
        <v>1154240.68</v>
      </c>
      <c r="F297" s="26">
        <v>1814382.31</v>
      </c>
      <c r="G297" t="str">
        <f t="shared" si="4"/>
        <v>6700</v>
      </c>
      <c r="K297" s="3"/>
      <c r="L297" s="3"/>
      <c r="M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23">
        <v>6741</v>
      </c>
      <c r="B298" s="24" t="s">
        <v>982</v>
      </c>
      <c r="C298" s="25">
        <v>10575243.869999999</v>
      </c>
      <c r="D298" s="25">
        <v>1269703.18</v>
      </c>
      <c r="E298" s="25">
        <v>2132939.5699999998</v>
      </c>
      <c r="F298" s="26">
        <v>2653983.0499999998</v>
      </c>
      <c r="G298" t="str">
        <f t="shared" si="4"/>
        <v>6741</v>
      </c>
      <c r="K298" s="3"/>
      <c r="L298" s="3"/>
      <c r="M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23">
        <v>6759</v>
      </c>
      <c r="B299" s="24" t="s">
        <v>983</v>
      </c>
      <c r="C299" s="25">
        <v>8353714.8600000003</v>
      </c>
      <c r="D299" s="25">
        <v>1677173.18</v>
      </c>
      <c r="E299" s="25">
        <v>663041.69999999995</v>
      </c>
      <c r="F299" s="26">
        <v>1074451</v>
      </c>
      <c r="G299" t="str">
        <f t="shared" si="4"/>
        <v>6759</v>
      </c>
      <c r="K299" s="3"/>
      <c r="L299" s="3"/>
      <c r="M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23">
        <v>6762</v>
      </c>
      <c r="B300" s="24" t="s">
        <v>984</v>
      </c>
      <c r="C300" s="25">
        <v>9559530.5800000001</v>
      </c>
      <c r="D300" s="25">
        <v>1137101.18</v>
      </c>
      <c r="E300" s="25">
        <v>483927.43</v>
      </c>
      <c r="F300" s="26">
        <v>691168.87</v>
      </c>
      <c r="G300" t="str">
        <f t="shared" si="4"/>
        <v>6762</v>
      </c>
      <c r="K300" s="3"/>
      <c r="L300" s="3"/>
      <c r="M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23">
        <v>6768</v>
      </c>
      <c r="B301" s="24" t="s">
        <v>985</v>
      </c>
      <c r="C301" s="25">
        <v>23880710.629999999</v>
      </c>
      <c r="D301" s="25">
        <v>6163863.0999999996</v>
      </c>
      <c r="E301" s="25">
        <v>3946619.27</v>
      </c>
      <c r="F301" s="26">
        <v>5795523.3099999996</v>
      </c>
      <c r="G301" t="str">
        <f t="shared" si="4"/>
        <v>6768</v>
      </c>
      <c r="K301" s="3"/>
      <c r="L301" s="3"/>
      <c r="M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23">
        <v>6795</v>
      </c>
      <c r="B302" s="24" t="s">
        <v>986</v>
      </c>
      <c r="C302" s="25">
        <v>169197344.08000001</v>
      </c>
      <c r="D302" s="25">
        <v>16493624.449999999</v>
      </c>
      <c r="E302" s="25">
        <v>9798586.3000000007</v>
      </c>
      <c r="F302" s="26">
        <v>13777019.869999999</v>
      </c>
      <c r="G302" t="str">
        <f t="shared" si="4"/>
        <v>6795</v>
      </c>
      <c r="K302" s="3"/>
      <c r="L302" s="3"/>
      <c r="M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23">
        <v>6822</v>
      </c>
      <c r="B303" s="24" t="s">
        <v>987</v>
      </c>
      <c r="C303" s="25">
        <v>168188038.61000001</v>
      </c>
      <c r="D303" s="25">
        <v>12420055.619999999</v>
      </c>
      <c r="E303" s="25">
        <v>20173836.780000001</v>
      </c>
      <c r="F303" s="26">
        <v>27671883.039999999</v>
      </c>
      <c r="G303" t="str">
        <f t="shared" si="4"/>
        <v>6822</v>
      </c>
      <c r="K303" s="3"/>
      <c r="L303" s="3"/>
      <c r="M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23">
        <v>6840</v>
      </c>
      <c r="B304" s="24" t="s">
        <v>988</v>
      </c>
      <c r="C304" s="25">
        <v>30528148.710000001</v>
      </c>
      <c r="D304" s="25">
        <v>5086050.87</v>
      </c>
      <c r="E304" s="25">
        <v>4788436.16</v>
      </c>
      <c r="F304" s="26">
        <v>5371247.5499999998</v>
      </c>
      <c r="G304" t="str">
        <f t="shared" si="4"/>
        <v>6840</v>
      </c>
      <c r="K304" s="3"/>
      <c r="L304" s="3"/>
      <c r="M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23">
        <v>6854</v>
      </c>
      <c r="B305" s="24" t="s">
        <v>989</v>
      </c>
      <c r="C305" s="25">
        <v>9095061.9600000009</v>
      </c>
      <c r="D305" s="25">
        <v>2319034.92</v>
      </c>
      <c r="E305" s="25">
        <v>5317983.3600000003</v>
      </c>
      <c r="F305" s="26">
        <v>5993545.8700000001</v>
      </c>
      <c r="G305" t="str">
        <f t="shared" si="4"/>
        <v>6854</v>
      </c>
      <c r="K305" s="3"/>
      <c r="L305" s="3"/>
      <c r="M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23">
        <v>6867</v>
      </c>
      <c r="B306" s="24" t="s">
        <v>990</v>
      </c>
      <c r="C306" s="25">
        <v>25124880.079999998</v>
      </c>
      <c r="D306" s="25">
        <v>2985072.49</v>
      </c>
      <c r="E306" s="25">
        <v>4328915.1500000004</v>
      </c>
      <c r="F306" s="26">
        <v>4946568.18</v>
      </c>
      <c r="G306" t="str">
        <f t="shared" si="4"/>
        <v>6867</v>
      </c>
      <c r="K306" s="3"/>
      <c r="L306" s="3"/>
      <c r="M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23">
        <v>6921</v>
      </c>
      <c r="B307" s="24" t="s">
        <v>991</v>
      </c>
      <c r="C307" s="25">
        <v>4869114.4800000004</v>
      </c>
      <c r="D307" s="25">
        <v>1117496.47</v>
      </c>
      <c r="E307" s="25">
        <v>1383539.78</v>
      </c>
      <c r="F307" s="26">
        <v>2278911.2999999998</v>
      </c>
      <c r="G307" t="str">
        <f t="shared" si="4"/>
        <v>6921</v>
      </c>
      <c r="K307" s="3"/>
      <c r="L307" s="3"/>
      <c r="M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23">
        <v>6930</v>
      </c>
      <c r="B308" s="24" t="s">
        <v>992</v>
      </c>
      <c r="C308" s="25">
        <v>10967691.6</v>
      </c>
      <c r="D308" s="25">
        <v>1345790.43</v>
      </c>
      <c r="E308" s="25">
        <v>1549675.86</v>
      </c>
      <c r="F308" s="26">
        <v>1627398.54</v>
      </c>
      <c r="G308" t="str">
        <f t="shared" si="4"/>
        <v>6930</v>
      </c>
      <c r="K308" s="3"/>
      <c r="L308" s="3"/>
      <c r="M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23">
        <v>6937</v>
      </c>
      <c r="B309" s="24" t="s">
        <v>993</v>
      </c>
      <c r="C309" s="25">
        <v>10330805.26</v>
      </c>
      <c r="D309" s="25">
        <v>4870069.37</v>
      </c>
      <c r="E309" s="25">
        <v>1752486.56</v>
      </c>
      <c r="F309" s="26">
        <v>1956087.89</v>
      </c>
      <c r="G309" t="str">
        <f t="shared" si="4"/>
        <v>6937</v>
      </c>
      <c r="K309" s="3"/>
      <c r="L309" s="3"/>
      <c r="M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23">
        <v>6943</v>
      </c>
      <c r="B310" s="24" t="s">
        <v>994</v>
      </c>
      <c r="C310" s="25">
        <v>4778742.22</v>
      </c>
      <c r="D310" s="25">
        <v>1556593.67</v>
      </c>
      <c r="E310" s="25">
        <v>1006370.6</v>
      </c>
      <c r="F310" s="26">
        <v>1182773.67</v>
      </c>
      <c r="G310" t="str">
        <f t="shared" si="4"/>
        <v>6943</v>
      </c>
      <c r="K310" s="3"/>
      <c r="L310" s="3"/>
      <c r="M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23">
        <v>6950</v>
      </c>
      <c r="B311" s="24" t="s">
        <v>995</v>
      </c>
      <c r="C311" s="25">
        <v>18208296.59</v>
      </c>
      <c r="D311" s="25">
        <v>3044474.45</v>
      </c>
      <c r="E311" s="25">
        <v>1295487.46</v>
      </c>
      <c r="F311" s="26">
        <v>2502869.79</v>
      </c>
      <c r="G311" t="str">
        <f t="shared" si="4"/>
        <v>6950</v>
      </c>
      <c r="K311" s="3"/>
      <c r="L311" s="3"/>
      <c r="M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23">
        <v>6957</v>
      </c>
      <c r="B312" s="24" t="s">
        <v>996</v>
      </c>
      <c r="C312" s="25">
        <v>133756492.84999999</v>
      </c>
      <c r="D312" s="25">
        <v>22620201.859999999</v>
      </c>
      <c r="E312" s="25">
        <v>19754876.129999999</v>
      </c>
      <c r="F312" s="26">
        <v>27185381.57</v>
      </c>
      <c r="G312" t="str">
        <f t="shared" si="4"/>
        <v>6957</v>
      </c>
      <c r="K312" s="3"/>
      <c r="L312" s="3"/>
      <c r="M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23">
        <v>6961</v>
      </c>
      <c r="B313" s="24" t="s">
        <v>997</v>
      </c>
      <c r="C313" s="25">
        <v>45096970.369999997</v>
      </c>
      <c r="D313" s="25">
        <v>6623851.25</v>
      </c>
      <c r="E313" s="25">
        <v>8969436.4800000004</v>
      </c>
      <c r="F313" s="26">
        <v>10326092.76</v>
      </c>
      <c r="G313" t="str">
        <f t="shared" si="4"/>
        <v>6961</v>
      </c>
      <c r="K313" s="3"/>
      <c r="L313" s="3"/>
      <c r="M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23">
        <v>6969</v>
      </c>
      <c r="B314" s="24" t="s">
        <v>998</v>
      </c>
      <c r="C314" s="25">
        <v>5562386.7300000004</v>
      </c>
      <c r="D314" s="25">
        <v>1007774.87</v>
      </c>
      <c r="E314" s="25">
        <v>684647.55</v>
      </c>
      <c r="F314" s="26">
        <v>843484.93</v>
      </c>
      <c r="G314" t="str">
        <f t="shared" si="4"/>
        <v>6969</v>
      </c>
      <c r="K314" s="3"/>
      <c r="L314" s="3"/>
      <c r="M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23">
        <v>6975</v>
      </c>
      <c r="B315" s="24" t="s">
        <v>999</v>
      </c>
      <c r="C315" s="25">
        <v>18118669.079999998</v>
      </c>
      <c r="D315" s="25">
        <v>2732128.92</v>
      </c>
      <c r="E315" s="25">
        <v>5235847.93</v>
      </c>
      <c r="F315" s="26">
        <v>6044036.6200000001</v>
      </c>
      <c r="G315" t="str">
        <f t="shared" si="4"/>
        <v>6975</v>
      </c>
      <c r="K315" s="3"/>
      <c r="L315" s="3"/>
      <c r="M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23">
        <v>6983</v>
      </c>
      <c r="B316" s="24" t="s">
        <v>1000</v>
      </c>
      <c r="C316" s="25">
        <v>11517960.369999999</v>
      </c>
      <c r="D316" s="25">
        <v>1322525.81</v>
      </c>
      <c r="E316" s="25">
        <v>3577752.77</v>
      </c>
      <c r="F316" s="26">
        <v>4029542.54</v>
      </c>
      <c r="G316" t="str">
        <f t="shared" si="4"/>
        <v>6983</v>
      </c>
      <c r="K316" s="3"/>
      <c r="L316" s="3"/>
      <c r="M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23">
        <v>6985</v>
      </c>
      <c r="B317" s="24" t="s">
        <v>1001</v>
      </c>
      <c r="C317" s="25">
        <v>10912168.689999999</v>
      </c>
      <c r="D317" s="25">
        <v>2189628.5699999998</v>
      </c>
      <c r="E317" s="25">
        <v>3677363.56</v>
      </c>
      <c r="F317" s="26">
        <v>4999157.62</v>
      </c>
      <c r="G317" t="str">
        <f t="shared" si="4"/>
        <v>6985</v>
      </c>
      <c r="K317" s="3"/>
      <c r="L317" s="3"/>
      <c r="M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23">
        <v>6987</v>
      </c>
      <c r="B318" s="24" t="s">
        <v>1002</v>
      </c>
      <c r="C318" s="25">
        <v>8238054.2300000004</v>
      </c>
      <c r="D318" s="25">
        <v>1846861.03</v>
      </c>
      <c r="E318" s="25">
        <v>4811962.8499999996</v>
      </c>
      <c r="F318" s="26">
        <v>5230709.67</v>
      </c>
      <c r="G318" t="str">
        <f t="shared" si="4"/>
        <v>6987</v>
      </c>
      <c r="K318" s="3"/>
      <c r="L318" s="3"/>
      <c r="M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23">
        <v>6990</v>
      </c>
      <c r="B319" s="24" t="s">
        <v>1003</v>
      </c>
      <c r="C319" s="25">
        <v>11300714.039999999</v>
      </c>
      <c r="D319" s="25">
        <v>1777596.92</v>
      </c>
      <c r="E319" s="25">
        <v>3202202.98</v>
      </c>
      <c r="F319" s="26">
        <v>3274094.88</v>
      </c>
      <c r="G319" t="str">
        <f t="shared" si="4"/>
        <v>6990</v>
      </c>
      <c r="K319" s="3"/>
      <c r="L319" s="3"/>
      <c r="M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23">
        <v>6992</v>
      </c>
      <c r="B320" s="24" t="s">
        <v>1004</v>
      </c>
      <c r="C320" s="25">
        <v>8554498.8800000008</v>
      </c>
      <c r="D320" s="25">
        <v>2063899.52</v>
      </c>
      <c r="E320" s="25">
        <v>2625926.6800000002</v>
      </c>
      <c r="F320" s="26">
        <v>3346905.53</v>
      </c>
      <c r="G320" t="str">
        <f t="shared" si="4"/>
        <v>6992</v>
      </c>
      <c r="K320" s="3"/>
      <c r="L320" s="3"/>
      <c r="M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23">
        <v>7002</v>
      </c>
      <c r="B321" s="24" t="s">
        <v>1005</v>
      </c>
      <c r="C321" s="25">
        <v>3504869.86</v>
      </c>
      <c r="D321" s="25">
        <v>486265.77</v>
      </c>
      <c r="E321" s="25">
        <v>-218465.99</v>
      </c>
      <c r="F321" s="26">
        <v>-159740.76</v>
      </c>
      <c r="G321" t="str">
        <f t="shared" si="4"/>
        <v>7002</v>
      </c>
      <c r="K321" s="3"/>
      <c r="L321" s="3"/>
      <c r="M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23">
        <v>7029</v>
      </c>
      <c r="B322" s="24" t="s">
        <v>1006</v>
      </c>
      <c r="C322" s="25">
        <v>16165394.619999999</v>
      </c>
      <c r="D322" s="25">
        <v>2435901.75</v>
      </c>
      <c r="E322" s="25">
        <v>1464892.68</v>
      </c>
      <c r="F322" s="26">
        <v>1967457.59</v>
      </c>
      <c r="G322" t="str">
        <f t="shared" si="4"/>
        <v>7029</v>
      </c>
      <c r="K322" s="3"/>
      <c r="L322" s="3"/>
      <c r="M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23">
        <v>7038</v>
      </c>
      <c r="B323" s="24" t="s">
        <v>1007</v>
      </c>
      <c r="C323" s="25">
        <v>12457302.060000001</v>
      </c>
      <c r="D323" s="25">
        <v>2782607.57</v>
      </c>
      <c r="E323" s="25">
        <v>3023764.09</v>
      </c>
      <c r="F323" s="26">
        <v>3230382.52</v>
      </c>
      <c r="G323" t="str">
        <f t="shared" si="4"/>
        <v>7038</v>
      </c>
      <c r="K323" s="3"/>
      <c r="L323" s="3"/>
      <c r="M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23">
        <v>7047</v>
      </c>
      <c r="B324" s="24" t="s">
        <v>1008</v>
      </c>
      <c r="C324" s="25">
        <v>5078836.3099999996</v>
      </c>
      <c r="D324" s="25">
        <v>1349460.76</v>
      </c>
      <c r="E324" s="25">
        <v>568105.4</v>
      </c>
      <c r="F324" s="26">
        <v>844811.58</v>
      </c>
      <c r="G324" t="str">
        <f t="shared" si="4"/>
        <v>7047</v>
      </c>
      <c r="K324" s="3"/>
      <c r="L324" s="3"/>
      <c r="M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23">
        <v>7056</v>
      </c>
      <c r="B325" s="24" t="s">
        <v>1009</v>
      </c>
      <c r="C325" s="25">
        <v>21850665.879999999</v>
      </c>
      <c r="D325" s="25">
        <v>2697408.91</v>
      </c>
      <c r="E325" s="25">
        <v>5994685.5</v>
      </c>
      <c r="F325" s="26">
        <v>6064517.75</v>
      </c>
      <c r="G325" t="str">
        <f t="shared" ref="G325:G330" si="5">TEXT(A325,"0000")</f>
        <v>7056</v>
      </c>
      <c r="K325" s="3"/>
      <c r="L325" s="3"/>
      <c r="M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23">
        <v>7092</v>
      </c>
      <c r="B326" s="24" t="s">
        <v>1010</v>
      </c>
      <c r="C326" s="25">
        <v>6422185.3099999996</v>
      </c>
      <c r="D326" s="25">
        <v>1139979.27</v>
      </c>
      <c r="E326" s="25">
        <v>3458268.55</v>
      </c>
      <c r="F326" s="26">
        <v>3509177.33</v>
      </c>
      <c r="G326" t="str">
        <f t="shared" si="5"/>
        <v>7092</v>
      </c>
      <c r="K326" s="3"/>
      <c r="L326" s="3"/>
      <c r="M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23">
        <v>7098</v>
      </c>
      <c r="B327" s="24" t="s">
        <v>1011</v>
      </c>
      <c r="C327" s="25">
        <v>8524424.9800000004</v>
      </c>
      <c r="D327" s="25">
        <v>1526826.31</v>
      </c>
      <c r="E327" s="25">
        <v>254739.61</v>
      </c>
      <c r="F327" s="26">
        <v>490089.17</v>
      </c>
      <c r="G327" t="str">
        <f t="shared" si="5"/>
        <v>7098</v>
      </c>
      <c r="K327" s="3"/>
      <c r="L327" s="3"/>
      <c r="M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23">
        <v>7110</v>
      </c>
      <c r="B328" s="24" t="s">
        <v>1012</v>
      </c>
      <c r="C328" s="25">
        <v>18373210.170000002</v>
      </c>
      <c r="D328" s="25">
        <v>4229697.24</v>
      </c>
      <c r="E328" s="25">
        <v>-1339931.73</v>
      </c>
      <c r="F328" s="26">
        <v>131733.98000000001</v>
      </c>
      <c r="G328" t="str">
        <f t="shared" si="5"/>
        <v>7110</v>
      </c>
      <c r="K328" s="3"/>
      <c r="L328" s="3"/>
      <c r="M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23">
        <v>8100</v>
      </c>
      <c r="B329" s="24" t="s">
        <v>1017</v>
      </c>
      <c r="C329" s="25">
        <v>2143546.52</v>
      </c>
      <c r="D329" s="25">
        <v>1908284.96</v>
      </c>
      <c r="E329" s="25">
        <v>225802.73</v>
      </c>
      <c r="F329" s="26">
        <v>235458.34</v>
      </c>
      <c r="G329" t="str">
        <f t="shared" si="5"/>
        <v>8100</v>
      </c>
      <c r="K329" s="3"/>
      <c r="L329" s="3"/>
      <c r="M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27">
        <v>8200</v>
      </c>
      <c r="B330" s="28" t="s">
        <v>1022</v>
      </c>
      <c r="C330" s="29">
        <v>2998247.19</v>
      </c>
      <c r="D330" s="29">
        <v>4195460.8499999996</v>
      </c>
      <c r="E330" s="29">
        <v>461371.18</v>
      </c>
      <c r="F330" s="30">
        <v>532332.51</v>
      </c>
      <c r="G330" t="str">
        <f t="shared" si="5"/>
        <v>8200</v>
      </c>
      <c r="K330" s="3"/>
      <c r="L330" s="3"/>
      <c r="M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C331" s="3">
        <f>SUM(C4:C328)</f>
        <v>7102886767.7799931</v>
      </c>
      <c r="D331" s="3">
        <f>SUM(D4:D328)</f>
        <v>1206008442.1199999</v>
      </c>
      <c r="E331" s="3">
        <f>SUM(E4:E328)</f>
        <v>1374106087.1899996</v>
      </c>
      <c r="F331" s="3">
        <f t="shared" ref="F331" si="6">SUM(F4:F328)</f>
        <v>1595696803.2199996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6"/>
  <sheetViews>
    <sheetView workbookViewId="0">
      <selection activeCell="D1" sqref="D1:D1048576"/>
    </sheetView>
  </sheetViews>
  <sheetFormatPr defaultRowHeight="15" x14ac:dyDescent="0.25"/>
  <cols>
    <col min="2" max="2" width="9.140625" style="4"/>
    <col min="3" max="3" width="32" bestFit="1" customWidth="1"/>
    <col min="4" max="4" width="22.28515625" bestFit="1" customWidth="1"/>
  </cols>
  <sheetData>
    <row r="1" spans="1:5" x14ac:dyDescent="0.25">
      <c r="A1" t="s">
        <v>668</v>
      </c>
      <c r="B1" s="4" t="s">
        <v>670</v>
      </c>
      <c r="C1" t="s">
        <v>681</v>
      </c>
      <c r="D1" t="s">
        <v>682</v>
      </c>
      <c r="E1" t="s">
        <v>1027</v>
      </c>
    </row>
    <row r="2" spans="1:5" x14ac:dyDescent="0.25">
      <c r="A2">
        <v>2026</v>
      </c>
      <c r="B2" s="4" t="s">
        <v>6</v>
      </c>
      <c r="C2" t="s">
        <v>7</v>
      </c>
      <c r="D2" s="6">
        <v>1000000</v>
      </c>
    </row>
    <row r="3" spans="1:5" x14ac:dyDescent="0.25">
      <c r="A3">
        <v>2026</v>
      </c>
      <c r="B3" s="4" t="s">
        <v>9</v>
      </c>
      <c r="C3" t="s">
        <v>10</v>
      </c>
      <c r="D3" s="6">
        <v>117909</v>
      </c>
    </row>
    <row r="4" spans="1:5" x14ac:dyDescent="0.25">
      <c r="A4">
        <v>2026</v>
      </c>
      <c r="B4" s="4" t="s">
        <v>1</v>
      </c>
      <c r="C4" t="s">
        <v>2</v>
      </c>
      <c r="D4" s="6">
        <v>0</v>
      </c>
    </row>
    <row r="5" spans="1:5" x14ac:dyDescent="0.25">
      <c r="A5">
        <v>2026</v>
      </c>
      <c r="B5" s="4" t="s">
        <v>3</v>
      </c>
      <c r="C5" t="s">
        <v>4</v>
      </c>
      <c r="D5" s="6">
        <v>1299386</v>
      </c>
    </row>
    <row r="6" spans="1:5" x14ac:dyDescent="0.25">
      <c r="A6">
        <v>2026</v>
      </c>
      <c r="B6" s="4" t="s">
        <v>12</v>
      </c>
      <c r="C6" t="s">
        <v>13</v>
      </c>
      <c r="D6" s="6">
        <v>831363</v>
      </c>
    </row>
    <row r="7" spans="1:5" x14ac:dyDescent="0.25">
      <c r="A7">
        <v>2026</v>
      </c>
      <c r="B7" s="4" t="s">
        <v>15</v>
      </c>
      <c r="C7" t="s">
        <v>16</v>
      </c>
      <c r="D7" s="6">
        <v>0</v>
      </c>
    </row>
    <row r="8" spans="1:5" x14ac:dyDescent="0.25">
      <c r="A8">
        <v>2026</v>
      </c>
      <c r="B8" s="4" t="s">
        <v>18</v>
      </c>
      <c r="C8" t="s">
        <v>19</v>
      </c>
      <c r="D8">
        <v>0</v>
      </c>
    </row>
    <row r="9" spans="1:5" x14ac:dyDescent="0.25">
      <c r="A9">
        <v>2026</v>
      </c>
      <c r="B9" s="4" t="s">
        <v>21</v>
      </c>
      <c r="C9" t="s">
        <v>22</v>
      </c>
      <c r="D9" s="6">
        <v>300000</v>
      </c>
    </row>
    <row r="10" spans="1:5" x14ac:dyDescent="0.25">
      <c r="A10">
        <v>2026</v>
      </c>
      <c r="B10" s="4" t="s">
        <v>23</v>
      </c>
      <c r="C10" t="s">
        <v>24</v>
      </c>
      <c r="D10" s="6">
        <v>375000</v>
      </c>
    </row>
    <row r="11" spans="1:5" x14ac:dyDescent="0.25">
      <c r="A11">
        <v>2026</v>
      </c>
      <c r="B11" s="4" t="s">
        <v>25</v>
      </c>
      <c r="C11" t="s">
        <v>26</v>
      </c>
      <c r="D11" s="6">
        <v>814216</v>
      </c>
    </row>
    <row r="12" spans="1:5" x14ac:dyDescent="0.25">
      <c r="A12">
        <v>2026</v>
      </c>
      <c r="B12" s="4" t="s">
        <v>29</v>
      </c>
      <c r="C12" t="s">
        <v>30</v>
      </c>
      <c r="D12" s="6">
        <v>400000</v>
      </c>
    </row>
    <row r="13" spans="1:5" x14ac:dyDescent="0.25">
      <c r="A13">
        <v>2026</v>
      </c>
      <c r="B13" s="4" t="s">
        <v>31</v>
      </c>
      <c r="C13" t="s">
        <v>32</v>
      </c>
      <c r="D13" s="6">
        <v>600000</v>
      </c>
    </row>
    <row r="14" spans="1:5" x14ac:dyDescent="0.25">
      <c r="A14">
        <v>2026</v>
      </c>
      <c r="B14" s="4" t="s">
        <v>33</v>
      </c>
      <c r="C14" t="s">
        <v>34</v>
      </c>
      <c r="D14" s="6">
        <v>0</v>
      </c>
    </row>
    <row r="15" spans="1:5" x14ac:dyDescent="0.25">
      <c r="A15">
        <v>2026</v>
      </c>
      <c r="B15" s="4" t="s">
        <v>35</v>
      </c>
      <c r="C15" t="s">
        <v>36</v>
      </c>
      <c r="D15" s="6">
        <v>0</v>
      </c>
    </row>
    <row r="16" spans="1:5" x14ac:dyDescent="0.25">
      <c r="A16">
        <v>2026</v>
      </c>
      <c r="B16" s="4" t="s">
        <v>38</v>
      </c>
      <c r="C16" t="s">
        <v>39</v>
      </c>
      <c r="D16" s="6">
        <v>234020</v>
      </c>
    </row>
    <row r="17" spans="1:4" x14ac:dyDescent="0.25">
      <c r="A17">
        <v>2026</v>
      </c>
      <c r="B17" s="4" t="s">
        <v>40</v>
      </c>
      <c r="C17" t="s">
        <v>41</v>
      </c>
      <c r="D17" s="6">
        <v>10750000</v>
      </c>
    </row>
    <row r="18" spans="1:4" x14ac:dyDescent="0.25">
      <c r="A18">
        <v>2026</v>
      </c>
      <c r="B18" s="4" t="s">
        <v>42</v>
      </c>
      <c r="C18" t="s">
        <v>43</v>
      </c>
      <c r="D18" s="6">
        <v>0</v>
      </c>
    </row>
    <row r="19" spans="1:4" x14ac:dyDescent="0.25">
      <c r="A19">
        <v>2026</v>
      </c>
      <c r="B19" s="4" t="s">
        <v>44</v>
      </c>
      <c r="C19" t="s">
        <v>45</v>
      </c>
      <c r="D19" s="6">
        <v>0</v>
      </c>
    </row>
    <row r="20" spans="1:4" x14ac:dyDescent="0.25">
      <c r="A20">
        <v>2026</v>
      </c>
      <c r="B20" s="4" t="s">
        <v>46</v>
      </c>
      <c r="C20" t="s">
        <v>47</v>
      </c>
      <c r="D20" s="6">
        <v>0</v>
      </c>
    </row>
    <row r="21" spans="1:4" x14ac:dyDescent="0.25">
      <c r="A21">
        <v>2026</v>
      </c>
      <c r="B21" s="4" t="s">
        <v>48</v>
      </c>
      <c r="C21" t="s">
        <v>49</v>
      </c>
      <c r="D21" s="6">
        <v>0</v>
      </c>
    </row>
    <row r="22" spans="1:4" x14ac:dyDescent="0.25">
      <c r="A22">
        <v>2026</v>
      </c>
      <c r="B22" s="4" t="s">
        <v>54</v>
      </c>
      <c r="C22" t="s">
        <v>55</v>
      </c>
      <c r="D22" s="6">
        <v>586344</v>
      </c>
    </row>
    <row r="23" spans="1:4" x14ac:dyDescent="0.25">
      <c r="A23">
        <v>2026</v>
      </c>
      <c r="B23" s="4" t="s">
        <v>50</v>
      </c>
      <c r="C23" t="s">
        <v>51</v>
      </c>
      <c r="D23" s="6">
        <v>2115000</v>
      </c>
    </row>
    <row r="24" spans="1:4" x14ac:dyDescent="0.25">
      <c r="A24">
        <v>2026</v>
      </c>
      <c r="B24" s="4" t="s">
        <v>52</v>
      </c>
      <c r="C24" t="s">
        <v>53</v>
      </c>
      <c r="D24" s="6">
        <v>365268</v>
      </c>
    </row>
    <row r="25" spans="1:4" x14ac:dyDescent="0.25">
      <c r="A25">
        <v>2026</v>
      </c>
      <c r="B25" s="4" t="s">
        <v>56</v>
      </c>
      <c r="C25" t="s">
        <v>57</v>
      </c>
      <c r="D25" s="6">
        <v>0</v>
      </c>
    </row>
    <row r="26" spans="1:4" x14ac:dyDescent="0.25">
      <c r="A26">
        <v>2026</v>
      </c>
      <c r="B26" s="4" t="s">
        <v>58</v>
      </c>
      <c r="C26" t="s">
        <v>59</v>
      </c>
      <c r="D26">
        <v>0</v>
      </c>
    </row>
    <row r="27" spans="1:4" x14ac:dyDescent="0.25">
      <c r="A27">
        <v>2026</v>
      </c>
      <c r="B27" s="4" t="s">
        <v>60</v>
      </c>
      <c r="C27" t="s">
        <v>61</v>
      </c>
      <c r="D27" s="6">
        <v>0</v>
      </c>
    </row>
    <row r="28" spans="1:4" x14ac:dyDescent="0.25">
      <c r="A28">
        <v>2026</v>
      </c>
      <c r="B28" s="4" t="s">
        <v>62</v>
      </c>
      <c r="C28" t="s">
        <v>63</v>
      </c>
      <c r="D28" s="6">
        <v>400000</v>
      </c>
    </row>
    <row r="29" spans="1:4" x14ac:dyDescent="0.25">
      <c r="A29">
        <v>2026</v>
      </c>
      <c r="B29" s="4" t="s">
        <v>64</v>
      </c>
      <c r="C29" t="s">
        <v>65</v>
      </c>
      <c r="D29" s="6">
        <v>0</v>
      </c>
    </row>
    <row r="30" spans="1:4" x14ac:dyDescent="0.25">
      <c r="A30">
        <v>2026</v>
      </c>
      <c r="B30" s="4" t="s">
        <v>66</v>
      </c>
      <c r="C30" t="s">
        <v>67</v>
      </c>
      <c r="D30" s="6">
        <v>0</v>
      </c>
    </row>
    <row r="31" spans="1:4" x14ac:dyDescent="0.25">
      <c r="A31">
        <v>2026</v>
      </c>
      <c r="B31" s="4" t="s">
        <v>68</v>
      </c>
      <c r="C31" t="s">
        <v>69</v>
      </c>
      <c r="D31" s="6">
        <v>0</v>
      </c>
    </row>
    <row r="32" spans="1:4" x14ac:dyDescent="0.25">
      <c r="A32">
        <v>2026</v>
      </c>
      <c r="B32" s="4" t="s">
        <v>70</v>
      </c>
      <c r="C32" t="s">
        <v>71</v>
      </c>
      <c r="D32" s="6">
        <v>1006904</v>
      </c>
    </row>
    <row r="33" spans="1:4" x14ac:dyDescent="0.25">
      <c r="A33">
        <v>2026</v>
      </c>
      <c r="B33" s="4" t="s">
        <v>72</v>
      </c>
      <c r="C33" t="s">
        <v>73</v>
      </c>
      <c r="D33" s="6">
        <v>85770</v>
      </c>
    </row>
    <row r="34" spans="1:4" x14ac:dyDescent="0.25">
      <c r="A34">
        <v>2026</v>
      </c>
      <c r="B34" s="4" t="s">
        <v>74</v>
      </c>
      <c r="C34" t="s">
        <v>75</v>
      </c>
      <c r="D34" s="6">
        <v>0</v>
      </c>
    </row>
    <row r="35" spans="1:4" x14ac:dyDescent="0.25">
      <c r="A35">
        <v>2026</v>
      </c>
      <c r="B35" s="4" t="s">
        <v>76</v>
      </c>
      <c r="C35" t="s">
        <v>77</v>
      </c>
      <c r="D35" s="6">
        <v>0</v>
      </c>
    </row>
    <row r="36" spans="1:4" x14ac:dyDescent="0.25">
      <c r="A36">
        <v>2026</v>
      </c>
      <c r="B36" s="4" t="s">
        <v>78</v>
      </c>
      <c r="C36" t="s">
        <v>79</v>
      </c>
      <c r="D36" s="6">
        <v>0</v>
      </c>
    </row>
    <row r="37" spans="1:4" x14ac:dyDescent="0.25">
      <c r="A37">
        <v>2026</v>
      </c>
      <c r="B37" s="4" t="s">
        <v>80</v>
      </c>
      <c r="C37" t="s">
        <v>81</v>
      </c>
      <c r="D37" s="6">
        <v>2778904</v>
      </c>
    </row>
    <row r="38" spans="1:4" x14ac:dyDescent="0.25">
      <c r="A38">
        <v>2026</v>
      </c>
      <c r="B38" s="4" t="s">
        <v>82</v>
      </c>
      <c r="C38" t="s">
        <v>83</v>
      </c>
      <c r="D38" s="6">
        <v>51408</v>
      </c>
    </row>
    <row r="39" spans="1:4" x14ac:dyDescent="0.25">
      <c r="A39">
        <v>2026</v>
      </c>
      <c r="B39" s="4" t="s">
        <v>86</v>
      </c>
      <c r="C39" t="s">
        <v>87</v>
      </c>
      <c r="D39" s="6">
        <v>0</v>
      </c>
    </row>
    <row r="40" spans="1:4" x14ac:dyDescent="0.25">
      <c r="A40">
        <v>2026</v>
      </c>
      <c r="B40" s="4" t="s">
        <v>84</v>
      </c>
      <c r="C40" t="s">
        <v>85</v>
      </c>
      <c r="D40" s="6">
        <v>41128</v>
      </c>
    </row>
    <row r="41" spans="1:4" x14ac:dyDescent="0.25">
      <c r="A41">
        <v>2026</v>
      </c>
      <c r="B41" s="4" t="s">
        <v>88</v>
      </c>
      <c r="C41" t="s">
        <v>89</v>
      </c>
      <c r="D41" s="6">
        <v>1711568</v>
      </c>
    </row>
    <row r="42" spans="1:4" x14ac:dyDescent="0.25">
      <c r="A42">
        <v>2026</v>
      </c>
      <c r="B42" s="4" t="s">
        <v>90</v>
      </c>
      <c r="C42" t="s">
        <v>91</v>
      </c>
      <c r="D42" s="6">
        <v>467647</v>
      </c>
    </row>
    <row r="43" spans="1:4" x14ac:dyDescent="0.25">
      <c r="A43">
        <v>2026</v>
      </c>
      <c r="B43" s="4" t="s">
        <v>92</v>
      </c>
      <c r="C43" t="s">
        <v>93</v>
      </c>
      <c r="D43">
        <v>0</v>
      </c>
    </row>
    <row r="44" spans="1:4" x14ac:dyDescent="0.25">
      <c r="A44">
        <v>2026</v>
      </c>
      <c r="B44" s="4" t="s">
        <v>94</v>
      </c>
      <c r="C44" t="s">
        <v>95</v>
      </c>
      <c r="D44" s="6">
        <v>0</v>
      </c>
    </row>
    <row r="45" spans="1:4" x14ac:dyDescent="0.25">
      <c r="A45">
        <v>2026</v>
      </c>
      <c r="B45" s="4" t="s">
        <v>96</v>
      </c>
      <c r="C45" t="s">
        <v>97</v>
      </c>
      <c r="D45" s="6">
        <v>400000</v>
      </c>
    </row>
    <row r="46" spans="1:4" x14ac:dyDescent="0.25">
      <c r="A46">
        <v>2026</v>
      </c>
      <c r="B46" s="4" t="s">
        <v>98</v>
      </c>
      <c r="C46" t="s">
        <v>99</v>
      </c>
      <c r="D46" s="6">
        <v>7417675</v>
      </c>
    </row>
    <row r="47" spans="1:4" x14ac:dyDescent="0.25">
      <c r="A47">
        <v>2026</v>
      </c>
      <c r="B47" s="4" t="s">
        <v>100</v>
      </c>
      <c r="C47" t="s">
        <v>101</v>
      </c>
      <c r="D47" s="6">
        <v>0</v>
      </c>
    </row>
    <row r="48" spans="1:4" x14ac:dyDescent="0.25">
      <c r="A48">
        <v>2026</v>
      </c>
      <c r="B48" s="4" t="s">
        <v>102</v>
      </c>
      <c r="C48" t="s">
        <v>103</v>
      </c>
      <c r="D48" s="6">
        <v>0</v>
      </c>
    </row>
    <row r="49" spans="1:4" x14ac:dyDescent="0.25">
      <c r="A49">
        <v>2026</v>
      </c>
      <c r="B49" s="4" t="s">
        <v>104</v>
      </c>
      <c r="C49" t="s">
        <v>105</v>
      </c>
      <c r="D49" s="6">
        <v>0</v>
      </c>
    </row>
    <row r="50" spans="1:4" x14ac:dyDescent="0.25">
      <c r="A50">
        <v>2026</v>
      </c>
      <c r="B50" s="4" t="s">
        <v>106</v>
      </c>
      <c r="C50" t="s">
        <v>107</v>
      </c>
      <c r="D50" s="6">
        <v>148408</v>
      </c>
    </row>
    <row r="51" spans="1:4" x14ac:dyDescent="0.25">
      <c r="A51">
        <v>2026</v>
      </c>
      <c r="B51" s="4" t="s">
        <v>108</v>
      </c>
      <c r="C51" t="s">
        <v>109</v>
      </c>
      <c r="D51" s="6">
        <v>2008112</v>
      </c>
    </row>
    <row r="52" spans="1:4" x14ac:dyDescent="0.25">
      <c r="A52">
        <v>2026</v>
      </c>
      <c r="B52" s="4" t="s">
        <v>110</v>
      </c>
      <c r="C52" t="s">
        <v>111</v>
      </c>
      <c r="D52" s="6">
        <v>0</v>
      </c>
    </row>
    <row r="53" spans="1:4" x14ac:dyDescent="0.25">
      <c r="A53">
        <v>2026</v>
      </c>
      <c r="B53" s="4" t="s">
        <v>112</v>
      </c>
      <c r="C53" t="s">
        <v>113</v>
      </c>
      <c r="D53" s="6">
        <v>0</v>
      </c>
    </row>
    <row r="54" spans="1:4" x14ac:dyDescent="0.25">
      <c r="A54">
        <v>2026</v>
      </c>
      <c r="B54" s="4" t="s">
        <v>114</v>
      </c>
      <c r="C54" t="s">
        <v>115</v>
      </c>
      <c r="D54" s="6">
        <v>0</v>
      </c>
    </row>
    <row r="55" spans="1:4" x14ac:dyDescent="0.25">
      <c r="A55">
        <v>2026</v>
      </c>
      <c r="B55" s="4" t="s">
        <v>116</v>
      </c>
      <c r="C55" t="s">
        <v>117</v>
      </c>
      <c r="D55" s="6">
        <v>0</v>
      </c>
    </row>
    <row r="56" spans="1:4" x14ac:dyDescent="0.25">
      <c r="A56">
        <v>2026</v>
      </c>
      <c r="B56" s="4" t="s">
        <v>118</v>
      </c>
      <c r="C56" t="s">
        <v>119</v>
      </c>
      <c r="D56" s="6">
        <v>965938</v>
      </c>
    </row>
    <row r="57" spans="1:4" x14ac:dyDescent="0.25">
      <c r="A57">
        <v>2026</v>
      </c>
      <c r="B57" s="4" t="s">
        <v>120</v>
      </c>
      <c r="C57" t="s">
        <v>121</v>
      </c>
      <c r="D57" s="6">
        <v>360000</v>
      </c>
    </row>
    <row r="58" spans="1:4" x14ac:dyDescent="0.25">
      <c r="A58">
        <v>2026</v>
      </c>
      <c r="B58" s="4" t="s">
        <v>122</v>
      </c>
      <c r="C58" t="s">
        <v>123</v>
      </c>
      <c r="D58" s="6">
        <v>0</v>
      </c>
    </row>
    <row r="59" spans="1:4" x14ac:dyDescent="0.25">
      <c r="A59">
        <v>2026</v>
      </c>
      <c r="B59" s="4" t="s">
        <v>124</v>
      </c>
      <c r="C59" t="s">
        <v>125</v>
      </c>
      <c r="D59" s="6">
        <v>0</v>
      </c>
    </row>
    <row r="60" spans="1:4" x14ac:dyDescent="0.25">
      <c r="A60">
        <v>2026</v>
      </c>
      <c r="B60" s="4" t="s">
        <v>126</v>
      </c>
      <c r="C60" t="s">
        <v>127</v>
      </c>
      <c r="D60" s="6">
        <v>743775</v>
      </c>
    </row>
    <row r="61" spans="1:4" x14ac:dyDescent="0.25">
      <c r="A61">
        <v>2026</v>
      </c>
      <c r="B61" s="4" t="s">
        <v>128</v>
      </c>
      <c r="C61" t="s">
        <v>129</v>
      </c>
      <c r="D61" s="6">
        <v>620802</v>
      </c>
    </row>
    <row r="62" spans="1:4" x14ac:dyDescent="0.25">
      <c r="A62">
        <v>2026</v>
      </c>
      <c r="B62" s="4" t="s">
        <v>131</v>
      </c>
      <c r="C62" t="s">
        <v>132</v>
      </c>
      <c r="D62" s="6">
        <v>866423</v>
      </c>
    </row>
    <row r="63" spans="1:4" x14ac:dyDescent="0.25">
      <c r="A63">
        <v>2026</v>
      </c>
      <c r="B63" s="4" t="s">
        <v>133</v>
      </c>
      <c r="C63" t="s">
        <v>134</v>
      </c>
      <c r="D63" s="6">
        <v>175000</v>
      </c>
    </row>
    <row r="64" spans="1:4" x14ac:dyDescent="0.25">
      <c r="A64">
        <v>2026</v>
      </c>
      <c r="B64" s="4" t="s">
        <v>135</v>
      </c>
      <c r="C64" t="s">
        <v>136</v>
      </c>
      <c r="D64">
        <v>0</v>
      </c>
    </row>
    <row r="65" spans="1:4" x14ac:dyDescent="0.25">
      <c r="A65">
        <v>2026</v>
      </c>
      <c r="B65" s="4" t="s">
        <v>137</v>
      </c>
      <c r="C65" t="s">
        <v>138</v>
      </c>
      <c r="D65" s="6">
        <v>200000</v>
      </c>
    </row>
    <row r="66" spans="1:4" x14ac:dyDescent="0.25">
      <c r="A66">
        <v>2026</v>
      </c>
      <c r="B66" s="4" t="s">
        <v>139</v>
      </c>
      <c r="C66" t="s">
        <v>140</v>
      </c>
      <c r="D66" s="6">
        <v>2342248</v>
      </c>
    </row>
    <row r="67" spans="1:4" x14ac:dyDescent="0.25">
      <c r="A67">
        <v>2026</v>
      </c>
      <c r="B67" s="4" t="s">
        <v>142</v>
      </c>
      <c r="C67" t="s">
        <v>143</v>
      </c>
      <c r="D67" s="6">
        <v>0</v>
      </c>
    </row>
    <row r="68" spans="1:4" x14ac:dyDescent="0.25">
      <c r="A68">
        <v>2026</v>
      </c>
      <c r="B68" s="4" t="s">
        <v>144</v>
      </c>
      <c r="C68" t="s">
        <v>145</v>
      </c>
      <c r="D68" s="6">
        <v>800000</v>
      </c>
    </row>
    <row r="69" spans="1:4" x14ac:dyDescent="0.25">
      <c r="A69">
        <v>2026</v>
      </c>
      <c r="B69" s="4" t="s">
        <v>146</v>
      </c>
      <c r="C69" t="s">
        <v>147</v>
      </c>
      <c r="D69" s="6">
        <v>675000</v>
      </c>
    </row>
    <row r="70" spans="1:4" x14ac:dyDescent="0.25">
      <c r="A70">
        <v>2026</v>
      </c>
      <c r="B70" s="4" t="s">
        <v>148</v>
      </c>
      <c r="C70" t="s">
        <v>149</v>
      </c>
      <c r="D70" s="6">
        <v>6221192</v>
      </c>
    </row>
    <row r="71" spans="1:4" x14ac:dyDescent="0.25">
      <c r="A71">
        <v>2026</v>
      </c>
      <c r="B71" s="4" t="s">
        <v>150</v>
      </c>
      <c r="C71" t="s">
        <v>151</v>
      </c>
      <c r="D71" s="6">
        <v>0</v>
      </c>
    </row>
    <row r="72" spans="1:4" x14ac:dyDescent="0.25">
      <c r="A72">
        <v>2026</v>
      </c>
      <c r="B72" s="4" t="s">
        <v>152</v>
      </c>
      <c r="C72" t="s">
        <v>153</v>
      </c>
      <c r="D72" s="6">
        <v>500000</v>
      </c>
    </row>
    <row r="73" spans="1:4" x14ac:dyDescent="0.25">
      <c r="A73">
        <v>2026</v>
      </c>
      <c r="B73" s="4" t="s">
        <v>154</v>
      </c>
      <c r="C73" t="s">
        <v>155</v>
      </c>
      <c r="D73" s="6">
        <v>0</v>
      </c>
    </row>
    <row r="74" spans="1:4" x14ac:dyDescent="0.25">
      <c r="A74">
        <v>2026</v>
      </c>
      <c r="B74" s="4" t="s">
        <v>156</v>
      </c>
      <c r="C74" t="s">
        <v>157</v>
      </c>
      <c r="D74" s="6">
        <v>0</v>
      </c>
    </row>
    <row r="75" spans="1:4" x14ac:dyDescent="0.25">
      <c r="A75">
        <v>2026</v>
      </c>
      <c r="B75" s="4" t="s">
        <v>158</v>
      </c>
      <c r="C75" t="s">
        <v>159</v>
      </c>
      <c r="D75" s="6">
        <v>0</v>
      </c>
    </row>
    <row r="76" spans="1:4" x14ac:dyDescent="0.25">
      <c r="A76">
        <v>2026</v>
      </c>
      <c r="B76" s="4" t="s">
        <v>160</v>
      </c>
      <c r="C76" t="s">
        <v>161</v>
      </c>
      <c r="D76" s="6">
        <v>6100000</v>
      </c>
    </row>
    <row r="77" spans="1:4" x14ac:dyDescent="0.25">
      <c r="A77">
        <v>2026</v>
      </c>
      <c r="B77" s="4" t="s">
        <v>162</v>
      </c>
      <c r="C77" t="s">
        <v>163</v>
      </c>
      <c r="D77" s="6">
        <v>0</v>
      </c>
    </row>
    <row r="78" spans="1:4" x14ac:dyDescent="0.25">
      <c r="A78">
        <v>2026</v>
      </c>
      <c r="B78" s="4" t="s">
        <v>164</v>
      </c>
      <c r="C78" t="s">
        <v>165</v>
      </c>
      <c r="D78" s="6">
        <v>295470</v>
      </c>
    </row>
    <row r="79" spans="1:4" x14ac:dyDescent="0.25">
      <c r="A79">
        <v>2026</v>
      </c>
      <c r="B79" s="4" t="s">
        <v>166</v>
      </c>
      <c r="C79" t="s">
        <v>167</v>
      </c>
      <c r="D79" s="6">
        <v>294768</v>
      </c>
    </row>
    <row r="80" spans="1:4" x14ac:dyDescent="0.25">
      <c r="A80">
        <v>2026</v>
      </c>
      <c r="B80" s="4" t="s">
        <v>168</v>
      </c>
      <c r="C80" t="s">
        <v>169</v>
      </c>
      <c r="D80" s="6">
        <v>0</v>
      </c>
    </row>
    <row r="81" spans="1:4" x14ac:dyDescent="0.25">
      <c r="A81">
        <v>2026</v>
      </c>
      <c r="B81" s="4" t="s">
        <v>170</v>
      </c>
      <c r="C81" t="s">
        <v>171</v>
      </c>
      <c r="D81" s="6">
        <v>1490000</v>
      </c>
    </row>
    <row r="82" spans="1:4" x14ac:dyDescent="0.25">
      <c r="A82">
        <v>2026</v>
      </c>
      <c r="B82" s="4" t="s">
        <v>172</v>
      </c>
      <c r="C82" t="s">
        <v>173</v>
      </c>
      <c r="D82" s="6">
        <v>845012</v>
      </c>
    </row>
    <row r="83" spans="1:4" x14ac:dyDescent="0.25">
      <c r="A83">
        <v>2026</v>
      </c>
      <c r="B83" s="4" t="s">
        <v>174</v>
      </c>
      <c r="C83" t="s">
        <v>175</v>
      </c>
      <c r="D83" s="6">
        <v>0</v>
      </c>
    </row>
    <row r="84" spans="1:4" x14ac:dyDescent="0.25">
      <c r="A84">
        <v>2026</v>
      </c>
      <c r="B84" s="4" t="s">
        <v>176</v>
      </c>
      <c r="C84" t="s">
        <v>177</v>
      </c>
      <c r="D84" s="6">
        <v>0</v>
      </c>
    </row>
    <row r="85" spans="1:4" x14ac:dyDescent="0.25">
      <c r="A85">
        <v>2026</v>
      </c>
      <c r="B85" s="4" t="s">
        <v>178</v>
      </c>
      <c r="C85" t="s">
        <v>179</v>
      </c>
      <c r="D85" s="6">
        <v>445952</v>
      </c>
    </row>
    <row r="86" spans="1:4" x14ac:dyDescent="0.25">
      <c r="A86">
        <v>2026</v>
      </c>
      <c r="B86" s="4" t="s">
        <v>180</v>
      </c>
      <c r="C86" t="s">
        <v>181</v>
      </c>
      <c r="D86" s="6">
        <v>0</v>
      </c>
    </row>
    <row r="87" spans="1:4" x14ac:dyDescent="0.25">
      <c r="A87">
        <v>2026</v>
      </c>
      <c r="B87" s="4" t="s">
        <v>182</v>
      </c>
      <c r="C87" t="s">
        <v>183</v>
      </c>
      <c r="D87" s="6">
        <v>0</v>
      </c>
    </row>
    <row r="88" spans="1:4" x14ac:dyDescent="0.25">
      <c r="A88">
        <v>2026</v>
      </c>
      <c r="B88" s="4" t="s">
        <v>184</v>
      </c>
      <c r="C88" t="s">
        <v>185</v>
      </c>
      <c r="D88" s="6">
        <v>860000</v>
      </c>
    </row>
    <row r="89" spans="1:4" x14ac:dyDescent="0.25">
      <c r="A89">
        <v>2026</v>
      </c>
      <c r="B89" s="4" t="s">
        <v>186</v>
      </c>
      <c r="C89" t="s">
        <v>187</v>
      </c>
      <c r="D89" s="6">
        <v>7017143</v>
      </c>
    </row>
    <row r="90" spans="1:4" x14ac:dyDescent="0.25">
      <c r="A90">
        <v>2026</v>
      </c>
      <c r="B90" s="4" t="s">
        <v>188</v>
      </c>
      <c r="C90" t="s">
        <v>189</v>
      </c>
      <c r="D90">
        <v>0</v>
      </c>
    </row>
    <row r="91" spans="1:4" x14ac:dyDescent="0.25">
      <c r="A91">
        <v>2026</v>
      </c>
      <c r="B91" s="4" t="s">
        <v>190</v>
      </c>
      <c r="C91" t="s">
        <v>191</v>
      </c>
      <c r="D91" s="6">
        <v>435782</v>
      </c>
    </row>
    <row r="92" spans="1:4" x14ac:dyDescent="0.25">
      <c r="A92">
        <v>2026</v>
      </c>
      <c r="B92" s="4" t="s">
        <v>192</v>
      </c>
      <c r="C92" t="s">
        <v>193</v>
      </c>
      <c r="D92" s="6">
        <v>0</v>
      </c>
    </row>
    <row r="93" spans="1:4" x14ac:dyDescent="0.25">
      <c r="A93">
        <v>2026</v>
      </c>
      <c r="B93" s="4" t="s">
        <v>194</v>
      </c>
      <c r="C93" t="s">
        <v>195</v>
      </c>
      <c r="D93" s="6">
        <v>0</v>
      </c>
    </row>
    <row r="94" spans="1:4" x14ac:dyDescent="0.25">
      <c r="A94">
        <v>2026</v>
      </c>
      <c r="B94" s="4" t="s">
        <v>196</v>
      </c>
      <c r="C94" t="s">
        <v>197</v>
      </c>
      <c r="D94" s="6">
        <v>300000</v>
      </c>
    </row>
    <row r="95" spans="1:4" x14ac:dyDescent="0.25">
      <c r="A95">
        <v>2026</v>
      </c>
      <c r="B95" s="4" t="s">
        <v>198</v>
      </c>
      <c r="C95" t="s">
        <v>200</v>
      </c>
      <c r="D95" s="6">
        <v>0</v>
      </c>
    </row>
    <row r="96" spans="1:4" x14ac:dyDescent="0.25">
      <c r="A96">
        <v>2026</v>
      </c>
      <c r="B96" s="4" t="s">
        <v>201</v>
      </c>
      <c r="C96" t="s">
        <v>202</v>
      </c>
      <c r="D96" s="6">
        <v>0</v>
      </c>
    </row>
    <row r="97" spans="1:4" x14ac:dyDescent="0.25">
      <c r="A97">
        <v>2026</v>
      </c>
      <c r="B97" s="4" t="s">
        <v>203</v>
      </c>
      <c r="C97" t="s">
        <v>204</v>
      </c>
      <c r="D97" s="6">
        <v>0</v>
      </c>
    </row>
    <row r="98" spans="1:4" x14ac:dyDescent="0.25">
      <c r="A98">
        <v>2026</v>
      </c>
      <c r="B98" s="4" t="s">
        <v>205</v>
      </c>
      <c r="C98" t="s">
        <v>206</v>
      </c>
      <c r="D98" s="6">
        <v>0</v>
      </c>
    </row>
    <row r="99" spans="1:4" x14ac:dyDescent="0.25">
      <c r="A99">
        <v>2026</v>
      </c>
      <c r="B99" s="4" t="s">
        <v>207</v>
      </c>
      <c r="C99" t="s">
        <v>208</v>
      </c>
      <c r="D99" s="6">
        <v>508475</v>
      </c>
    </row>
    <row r="100" spans="1:4" x14ac:dyDescent="0.25">
      <c r="A100">
        <v>2026</v>
      </c>
      <c r="B100" s="4" t="s">
        <v>209</v>
      </c>
      <c r="C100" t="s">
        <v>210</v>
      </c>
      <c r="D100" s="6">
        <v>0</v>
      </c>
    </row>
    <row r="101" spans="1:4" x14ac:dyDescent="0.25">
      <c r="A101">
        <v>2026</v>
      </c>
      <c r="B101" s="4" t="s">
        <v>211</v>
      </c>
      <c r="C101" t="s">
        <v>212</v>
      </c>
      <c r="D101" s="6">
        <v>0</v>
      </c>
    </row>
    <row r="102" spans="1:4" x14ac:dyDescent="0.25">
      <c r="A102">
        <v>2026</v>
      </c>
      <c r="B102" s="4" t="s">
        <v>213</v>
      </c>
      <c r="C102" t="s">
        <v>214</v>
      </c>
      <c r="D102" s="6">
        <v>0</v>
      </c>
    </row>
    <row r="103" spans="1:4" x14ac:dyDescent="0.25">
      <c r="A103">
        <v>2026</v>
      </c>
      <c r="B103" s="4" t="s">
        <v>215</v>
      </c>
      <c r="C103" t="s">
        <v>216</v>
      </c>
      <c r="D103">
        <v>0</v>
      </c>
    </row>
    <row r="104" spans="1:4" x14ac:dyDescent="0.25">
      <c r="A104">
        <v>2026</v>
      </c>
      <c r="B104" s="4" t="s">
        <v>217</v>
      </c>
      <c r="C104" t="s">
        <v>218</v>
      </c>
      <c r="D104" s="6">
        <v>0</v>
      </c>
    </row>
    <row r="105" spans="1:4" x14ac:dyDescent="0.25">
      <c r="A105">
        <v>2026</v>
      </c>
      <c r="B105" s="4" t="s">
        <v>219</v>
      </c>
      <c r="C105" t="s">
        <v>220</v>
      </c>
      <c r="D105" s="6">
        <v>0</v>
      </c>
    </row>
    <row r="106" spans="1:4" x14ac:dyDescent="0.25">
      <c r="A106">
        <v>2026</v>
      </c>
      <c r="B106" s="4" t="s">
        <v>221</v>
      </c>
      <c r="C106" t="s">
        <v>222</v>
      </c>
      <c r="D106" s="6">
        <v>211951</v>
      </c>
    </row>
    <row r="107" spans="1:4" x14ac:dyDescent="0.25">
      <c r="A107">
        <v>2026</v>
      </c>
      <c r="B107" s="4" t="s">
        <v>223</v>
      </c>
      <c r="C107" t="s">
        <v>224</v>
      </c>
      <c r="D107" s="6">
        <v>715585</v>
      </c>
    </row>
    <row r="108" spans="1:4" x14ac:dyDescent="0.25">
      <c r="A108">
        <v>2026</v>
      </c>
      <c r="B108" s="4" t="s">
        <v>225</v>
      </c>
      <c r="C108" t="s">
        <v>226</v>
      </c>
      <c r="D108">
        <v>0</v>
      </c>
    </row>
    <row r="109" spans="1:4" x14ac:dyDescent="0.25">
      <c r="A109">
        <v>2026</v>
      </c>
      <c r="B109" s="4" t="s">
        <v>227</v>
      </c>
      <c r="C109" t="s">
        <v>228</v>
      </c>
      <c r="D109" s="6">
        <v>1712381</v>
      </c>
    </row>
    <row r="110" spans="1:4" x14ac:dyDescent="0.25">
      <c r="A110">
        <v>2026</v>
      </c>
      <c r="B110" s="4" t="s">
        <v>229</v>
      </c>
      <c r="C110" t="s">
        <v>230</v>
      </c>
      <c r="D110" s="6">
        <v>0</v>
      </c>
    </row>
    <row r="111" spans="1:4" x14ac:dyDescent="0.25">
      <c r="A111">
        <v>2026</v>
      </c>
      <c r="B111" s="4" t="s">
        <v>231</v>
      </c>
      <c r="C111" t="s">
        <v>232</v>
      </c>
      <c r="D111" s="6">
        <v>0</v>
      </c>
    </row>
    <row r="112" spans="1:4" x14ac:dyDescent="0.25">
      <c r="A112">
        <v>2026</v>
      </c>
      <c r="B112" s="4" t="s">
        <v>233</v>
      </c>
      <c r="C112" t="s">
        <v>234</v>
      </c>
      <c r="D112" s="6">
        <v>532289</v>
      </c>
    </row>
    <row r="113" spans="1:4" x14ac:dyDescent="0.25">
      <c r="A113">
        <v>2026</v>
      </c>
      <c r="B113" s="4" t="s">
        <v>235</v>
      </c>
      <c r="C113" t="s">
        <v>236</v>
      </c>
      <c r="D113" s="6">
        <v>400000</v>
      </c>
    </row>
    <row r="114" spans="1:4" x14ac:dyDescent="0.25">
      <c r="A114">
        <v>2026</v>
      </c>
      <c r="B114" s="4" t="s">
        <v>253</v>
      </c>
      <c r="C114" t="s">
        <v>254</v>
      </c>
      <c r="D114" s="6">
        <v>329018</v>
      </c>
    </row>
    <row r="115" spans="1:4" x14ac:dyDescent="0.25">
      <c r="A115">
        <v>2026</v>
      </c>
      <c r="B115" s="4" t="s">
        <v>237</v>
      </c>
      <c r="C115" t="s">
        <v>238</v>
      </c>
      <c r="D115" s="6">
        <v>0</v>
      </c>
    </row>
    <row r="116" spans="1:4" x14ac:dyDescent="0.25">
      <c r="A116">
        <v>2026</v>
      </c>
      <c r="B116" s="4" t="s">
        <v>239</v>
      </c>
      <c r="C116" t="s">
        <v>240</v>
      </c>
      <c r="D116" s="6">
        <v>0</v>
      </c>
    </row>
    <row r="117" spans="1:4" x14ac:dyDescent="0.25">
      <c r="A117">
        <v>2026</v>
      </c>
      <c r="B117" s="4" t="s">
        <v>241</v>
      </c>
      <c r="C117" t="s">
        <v>242</v>
      </c>
      <c r="D117" s="6">
        <v>0</v>
      </c>
    </row>
    <row r="118" spans="1:4" x14ac:dyDescent="0.25">
      <c r="A118">
        <v>2026</v>
      </c>
      <c r="B118" s="4" t="s">
        <v>243</v>
      </c>
      <c r="C118" t="s">
        <v>244</v>
      </c>
      <c r="D118" s="6">
        <v>2425000</v>
      </c>
    </row>
    <row r="119" spans="1:4" x14ac:dyDescent="0.25">
      <c r="A119">
        <v>2026</v>
      </c>
      <c r="B119" s="4" t="s">
        <v>245</v>
      </c>
      <c r="C119" t="s">
        <v>246</v>
      </c>
      <c r="D119" s="6">
        <v>0</v>
      </c>
    </row>
    <row r="120" spans="1:4" x14ac:dyDescent="0.25">
      <c r="A120">
        <v>2026</v>
      </c>
      <c r="B120" s="4" t="s">
        <v>247</v>
      </c>
      <c r="C120" t="s">
        <v>248</v>
      </c>
      <c r="D120" s="6">
        <v>100000</v>
      </c>
    </row>
    <row r="121" spans="1:4" x14ac:dyDescent="0.25">
      <c r="A121">
        <v>2026</v>
      </c>
      <c r="B121" s="4" t="s">
        <v>249</v>
      </c>
      <c r="C121" t="s">
        <v>250</v>
      </c>
      <c r="D121" s="6">
        <v>1100000</v>
      </c>
    </row>
    <row r="122" spans="1:4" x14ac:dyDescent="0.25">
      <c r="A122">
        <v>2026</v>
      </c>
      <c r="B122" s="4" t="s">
        <v>251</v>
      </c>
      <c r="C122" t="s">
        <v>252</v>
      </c>
      <c r="D122" s="6">
        <v>250000</v>
      </c>
    </row>
    <row r="123" spans="1:4" x14ac:dyDescent="0.25">
      <c r="A123">
        <v>2026</v>
      </c>
      <c r="B123" s="4" t="s">
        <v>255</v>
      </c>
      <c r="C123" t="s">
        <v>256</v>
      </c>
      <c r="D123" s="6">
        <v>609000</v>
      </c>
    </row>
    <row r="124" spans="1:4" x14ac:dyDescent="0.25">
      <c r="A124">
        <v>2026</v>
      </c>
      <c r="B124" s="4" t="s">
        <v>257</v>
      </c>
      <c r="C124" t="s">
        <v>258</v>
      </c>
      <c r="D124" s="6">
        <v>750000</v>
      </c>
    </row>
    <row r="125" spans="1:4" x14ac:dyDescent="0.25">
      <c r="A125">
        <v>2026</v>
      </c>
      <c r="B125" s="4" t="s">
        <v>259</v>
      </c>
      <c r="C125" t="s">
        <v>260</v>
      </c>
      <c r="D125" s="6">
        <v>682227</v>
      </c>
    </row>
    <row r="126" spans="1:4" x14ac:dyDescent="0.25">
      <c r="A126">
        <v>2026</v>
      </c>
      <c r="B126" s="4" t="s">
        <v>261</v>
      </c>
      <c r="C126" t="s">
        <v>262</v>
      </c>
      <c r="D126" s="6">
        <v>205547</v>
      </c>
    </row>
    <row r="127" spans="1:4" x14ac:dyDescent="0.25">
      <c r="A127">
        <v>2026</v>
      </c>
      <c r="B127" s="4" t="s">
        <v>263</v>
      </c>
      <c r="C127" t="s">
        <v>264</v>
      </c>
      <c r="D127" s="6">
        <v>0</v>
      </c>
    </row>
    <row r="128" spans="1:4" x14ac:dyDescent="0.25">
      <c r="A128">
        <v>2026</v>
      </c>
      <c r="B128" s="4" t="s">
        <v>265</v>
      </c>
      <c r="C128" t="s">
        <v>266</v>
      </c>
      <c r="D128" s="6">
        <v>450000</v>
      </c>
    </row>
    <row r="129" spans="1:4" x14ac:dyDescent="0.25">
      <c r="A129">
        <v>2026</v>
      </c>
      <c r="B129" s="4" t="s">
        <v>281</v>
      </c>
      <c r="C129" t="s">
        <v>282</v>
      </c>
      <c r="D129" s="6">
        <v>500000</v>
      </c>
    </row>
    <row r="130" spans="1:4" x14ac:dyDescent="0.25">
      <c r="A130">
        <v>2026</v>
      </c>
      <c r="B130" s="4" t="s">
        <v>267</v>
      </c>
      <c r="C130" t="s">
        <v>268</v>
      </c>
      <c r="D130" s="6">
        <v>215000</v>
      </c>
    </row>
    <row r="131" spans="1:4" x14ac:dyDescent="0.25">
      <c r="A131">
        <v>2026</v>
      </c>
      <c r="B131" s="4" t="s">
        <v>269</v>
      </c>
      <c r="C131" t="s">
        <v>270</v>
      </c>
      <c r="D131" s="6">
        <v>0</v>
      </c>
    </row>
    <row r="132" spans="1:4" x14ac:dyDescent="0.25">
      <c r="A132">
        <v>2026</v>
      </c>
      <c r="B132" s="4" t="s">
        <v>271</v>
      </c>
      <c r="C132" t="s">
        <v>272</v>
      </c>
      <c r="D132" s="6">
        <v>700000</v>
      </c>
    </row>
    <row r="133" spans="1:4" x14ac:dyDescent="0.25">
      <c r="A133">
        <v>2026</v>
      </c>
      <c r="B133" s="4" t="s">
        <v>273</v>
      </c>
      <c r="C133" t="s">
        <v>274</v>
      </c>
      <c r="D133" s="6">
        <v>0</v>
      </c>
    </row>
    <row r="134" spans="1:4" x14ac:dyDescent="0.25">
      <c r="A134">
        <v>2026</v>
      </c>
      <c r="B134" s="4" t="s">
        <v>275</v>
      </c>
      <c r="C134" t="s">
        <v>276</v>
      </c>
      <c r="D134" s="6">
        <v>0</v>
      </c>
    </row>
    <row r="135" spans="1:4" x14ac:dyDescent="0.25">
      <c r="A135">
        <v>2026</v>
      </c>
      <c r="B135" s="4" t="s">
        <v>277</v>
      </c>
      <c r="C135" t="s">
        <v>278</v>
      </c>
      <c r="D135" s="6">
        <v>0</v>
      </c>
    </row>
    <row r="136" spans="1:4" x14ac:dyDescent="0.25">
      <c r="A136">
        <v>2026</v>
      </c>
      <c r="B136" s="4" t="s">
        <v>279</v>
      </c>
      <c r="C136" t="s">
        <v>280</v>
      </c>
      <c r="D136" s="6">
        <v>325960</v>
      </c>
    </row>
    <row r="137" spans="1:4" x14ac:dyDescent="0.25">
      <c r="A137">
        <v>2026</v>
      </c>
      <c r="B137" s="4" t="s">
        <v>283</v>
      </c>
      <c r="C137" t="s">
        <v>284</v>
      </c>
      <c r="D137" s="6">
        <v>726227</v>
      </c>
    </row>
    <row r="138" spans="1:4" x14ac:dyDescent="0.25">
      <c r="A138">
        <v>2026</v>
      </c>
      <c r="B138" s="4" t="s">
        <v>285</v>
      </c>
      <c r="C138" t="s">
        <v>286</v>
      </c>
      <c r="D138" s="6">
        <v>285000</v>
      </c>
    </row>
    <row r="139" spans="1:4" x14ac:dyDescent="0.25">
      <c r="A139">
        <v>2026</v>
      </c>
      <c r="B139" s="4" t="s">
        <v>287</v>
      </c>
      <c r="C139" t="s">
        <v>288</v>
      </c>
      <c r="D139" s="6">
        <v>362590</v>
      </c>
    </row>
    <row r="140" spans="1:4" x14ac:dyDescent="0.25">
      <c r="A140">
        <v>2026</v>
      </c>
      <c r="B140" s="4" t="s">
        <v>289</v>
      </c>
      <c r="C140" t="s">
        <v>290</v>
      </c>
      <c r="D140" s="6">
        <v>0</v>
      </c>
    </row>
    <row r="141" spans="1:4" x14ac:dyDescent="0.25">
      <c r="A141">
        <v>2026</v>
      </c>
      <c r="B141" s="4" t="s">
        <v>291</v>
      </c>
      <c r="C141" t="s">
        <v>677</v>
      </c>
      <c r="D141" s="6">
        <v>400000</v>
      </c>
    </row>
    <row r="142" spans="1:4" x14ac:dyDescent="0.25">
      <c r="A142">
        <v>2026</v>
      </c>
      <c r="B142" s="4" t="s">
        <v>292</v>
      </c>
      <c r="C142" t="s">
        <v>293</v>
      </c>
      <c r="D142" s="6">
        <v>0</v>
      </c>
    </row>
    <row r="143" spans="1:4" x14ac:dyDescent="0.25">
      <c r="A143">
        <v>2026</v>
      </c>
      <c r="B143" s="4" t="s">
        <v>294</v>
      </c>
      <c r="C143" t="s">
        <v>295</v>
      </c>
      <c r="D143" s="6">
        <v>0</v>
      </c>
    </row>
    <row r="144" spans="1:4" x14ac:dyDescent="0.25">
      <c r="A144">
        <v>2026</v>
      </c>
      <c r="B144" s="4" t="s">
        <v>296</v>
      </c>
      <c r="C144" t="s">
        <v>297</v>
      </c>
      <c r="D144" s="6">
        <v>281424</v>
      </c>
    </row>
    <row r="145" spans="1:4" x14ac:dyDescent="0.25">
      <c r="A145">
        <v>2026</v>
      </c>
      <c r="B145" s="4" t="s">
        <v>298</v>
      </c>
      <c r="C145" t="s">
        <v>299</v>
      </c>
      <c r="D145" s="6">
        <v>24021303</v>
      </c>
    </row>
    <row r="146" spans="1:4" x14ac:dyDescent="0.25">
      <c r="A146">
        <v>2026</v>
      </c>
      <c r="B146" s="4" t="s">
        <v>300</v>
      </c>
      <c r="C146" t="s">
        <v>301</v>
      </c>
      <c r="D146" s="6">
        <v>0</v>
      </c>
    </row>
    <row r="147" spans="1:4" x14ac:dyDescent="0.25">
      <c r="A147">
        <v>2026</v>
      </c>
      <c r="B147" s="4" t="s">
        <v>302</v>
      </c>
      <c r="C147" t="s">
        <v>303</v>
      </c>
      <c r="D147" s="6">
        <v>0</v>
      </c>
    </row>
    <row r="148" spans="1:4" x14ac:dyDescent="0.25">
      <c r="A148">
        <v>2026</v>
      </c>
      <c r="B148" s="4" t="s">
        <v>304</v>
      </c>
      <c r="C148" t="s">
        <v>305</v>
      </c>
      <c r="D148" s="6">
        <v>0</v>
      </c>
    </row>
    <row r="149" spans="1:4" x14ac:dyDescent="0.25">
      <c r="A149">
        <v>2026</v>
      </c>
      <c r="B149" s="4" t="s">
        <v>306</v>
      </c>
      <c r="C149" t="s">
        <v>307</v>
      </c>
      <c r="D149" s="6">
        <v>0</v>
      </c>
    </row>
    <row r="150" spans="1:4" x14ac:dyDescent="0.25">
      <c r="A150">
        <v>2026</v>
      </c>
      <c r="B150" s="4" t="s">
        <v>308</v>
      </c>
      <c r="C150" t="s">
        <v>309</v>
      </c>
      <c r="D150" s="6">
        <v>7605141</v>
      </c>
    </row>
    <row r="151" spans="1:4" x14ac:dyDescent="0.25">
      <c r="A151">
        <v>2026</v>
      </c>
      <c r="B151" s="4" t="s">
        <v>310</v>
      </c>
      <c r="C151" t="s">
        <v>311</v>
      </c>
      <c r="D151" s="6">
        <v>513369</v>
      </c>
    </row>
    <row r="152" spans="1:4" x14ac:dyDescent="0.25">
      <c r="A152">
        <v>2026</v>
      </c>
      <c r="B152" s="4" t="s">
        <v>312</v>
      </c>
      <c r="C152" t="s">
        <v>313</v>
      </c>
      <c r="D152" s="6">
        <v>400000</v>
      </c>
    </row>
    <row r="153" spans="1:4" x14ac:dyDescent="0.25">
      <c r="A153">
        <v>2026</v>
      </c>
      <c r="B153" s="4" t="s">
        <v>314</v>
      </c>
      <c r="C153" t="s">
        <v>315</v>
      </c>
      <c r="D153" s="6">
        <v>400000</v>
      </c>
    </row>
    <row r="154" spans="1:4" x14ac:dyDescent="0.25">
      <c r="A154">
        <v>2026</v>
      </c>
      <c r="B154" s="4" t="s">
        <v>316</v>
      </c>
      <c r="C154" t="s">
        <v>317</v>
      </c>
      <c r="D154" s="6">
        <v>1243645</v>
      </c>
    </row>
    <row r="155" spans="1:4" x14ac:dyDescent="0.25">
      <c r="A155">
        <v>2026</v>
      </c>
      <c r="B155" s="4" t="s">
        <v>318</v>
      </c>
      <c r="C155" t="s">
        <v>319</v>
      </c>
      <c r="D155" s="6">
        <v>0</v>
      </c>
    </row>
    <row r="156" spans="1:4" x14ac:dyDescent="0.25">
      <c r="A156">
        <v>2026</v>
      </c>
      <c r="B156" s="4" t="s">
        <v>320</v>
      </c>
      <c r="C156" t="s">
        <v>321</v>
      </c>
      <c r="D156" s="6">
        <v>0</v>
      </c>
    </row>
    <row r="157" spans="1:4" x14ac:dyDescent="0.25">
      <c r="A157">
        <v>2026</v>
      </c>
      <c r="B157" s="4" t="s">
        <v>322</v>
      </c>
      <c r="C157" t="s">
        <v>323</v>
      </c>
      <c r="D157" s="6">
        <v>0</v>
      </c>
    </row>
    <row r="158" spans="1:4" x14ac:dyDescent="0.25">
      <c r="A158">
        <v>2026</v>
      </c>
      <c r="B158" s="4" t="s">
        <v>324</v>
      </c>
      <c r="C158" t="s">
        <v>325</v>
      </c>
      <c r="D158" s="6">
        <v>0</v>
      </c>
    </row>
    <row r="159" spans="1:4" x14ac:dyDescent="0.25">
      <c r="A159">
        <v>2026</v>
      </c>
      <c r="B159" s="4" t="s">
        <v>326</v>
      </c>
      <c r="C159" t="s">
        <v>327</v>
      </c>
      <c r="D159" s="6">
        <v>0</v>
      </c>
    </row>
    <row r="160" spans="1:4" x14ac:dyDescent="0.25">
      <c r="A160">
        <v>2026</v>
      </c>
      <c r="B160" s="4" t="s">
        <v>328</v>
      </c>
      <c r="C160" t="s">
        <v>329</v>
      </c>
      <c r="D160" s="6">
        <v>0</v>
      </c>
    </row>
    <row r="161" spans="1:4" x14ac:dyDescent="0.25">
      <c r="A161">
        <v>2026</v>
      </c>
      <c r="B161" s="4" t="s">
        <v>330</v>
      </c>
      <c r="C161" t="s">
        <v>331</v>
      </c>
      <c r="D161" s="6">
        <v>0</v>
      </c>
    </row>
    <row r="162" spans="1:4" x14ac:dyDescent="0.25">
      <c r="A162">
        <v>2026</v>
      </c>
      <c r="B162" s="4" t="s">
        <v>332</v>
      </c>
      <c r="C162" t="s">
        <v>333</v>
      </c>
      <c r="D162" s="6">
        <v>10299069</v>
      </c>
    </row>
    <row r="163" spans="1:4" x14ac:dyDescent="0.25">
      <c r="A163">
        <v>2026</v>
      </c>
      <c r="B163" s="4" t="s">
        <v>334</v>
      </c>
      <c r="C163" t="s">
        <v>335</v>
      </c>
      <c r="D163" s="6">
        <v>482379</v>
      </c>
    </row>
    <row r="164" spans="1:4" x14ac:dyDescent="0.25">
      <c r="A164">
        <v>2026</v>
      </c>
      <c r="B164" s="4" t="s">
        <v>336</v>
      </c>
      <c r="C164" t="s">
        <v>337</v>
      </c>
      <c r="D164" s="6">
        <v>25000</v>
      </c>
    </row>
    <row r="165" spans="1:4" x14ac:dyDescent="0.25">
      <c r="A165">
        <v>2026</v>
      </c>
      <c r="B165" s="4" t="s">
        <v>338</v>
      </c>
      <c r="C165" t="s">
        <v>339</v>
      </c>
      <c r="D165" s="6">
        <v>0</v>
      </c>
    </row>
    <row r="166" spans="1:4" x14ac:dyDescent="0.25">
      <c r="A166">
        <v>2026</v>
      </c>
      <c r="B166" s="4" t="s">
        <v>340</v>
      </c>
      <c r="C166" t="s">
        <v>341</v>
      </c>
      <c r="D166" s="6">
        <v>280518</v>
      </c>
    </row>
    <row r="167" spans="1:4" x14ac:dyDescent="0.25">
      <c r="A167">
        <v>2026</v>
      </c>
      <c r="B167" s="4" t="s">
        <v>343</v>
      </c>
      <c r="C167" t="s">
        <v>344</v>
      </c>
      <c r="D167" s="6">
        <v>0</v>
      </c>
    </row>
    <row r="168" spans="1:4" x14ac:dyDescent="0.25">
      <c r="A168">
        <v>2026</v>
      </c>
      <c r="B168" s="4" t="s">
        <v>369</v>
      </c>
      <c r="C168" t="s">
        <v>370</v>
      </c>
      <c r="D168" s="6">
        <v>0</v>
      </c>
    </row>
    <row r="169" spans="1:4" x14ac:dyDescent="0.25">
      <c r="A169">
        <v>2026</v>
      </c>
      <c r="B169" s="4" t="s">
        <v>345</v>
      </c>
      <c r="C169" t="s">
        <v>346</v>
      </c>
      <c r="D169" s="6">
        <v>656500</v>
      </c>
    </row>
    <row r="170" spans="1:4" x14ac:dyDescent="0.25">
      <c r="A170">
        <v>2026</v>
      </c>
      <c r="B170" s="4" t="s">
        <v>347</v>
      </c>
      <c r="C170" t="s">
        <v>348</v>
      </c>
      <c r="D170" s="6">
        <v>0</v>
      </c>
    </row>
    <row r="171" spans="1:4" x14ac:dyDescent="0.25">
      <c r="A171">
        <v>2026</v>
      </c>
      <c r="B171" s="4" t="s">
        <v>349</v>
      </c>
      <c r="C171" t="s">
        <v>350</v>
      </c>
      <c r="D171" s="6">
        <v>640000</v>
      </c>
    </row>
    <row r="172" spans="1:4" x14ac:dyDescent="0.25">
      <c r="A172">
        <v>2026</v>
      </c>
      <c r="B172" s="4" t="s">
        <v>351</v>
      </c>
      <c r="C172" t="s">
        <v>352</v>
      </c>
      <c r="D172" s="6">
        <v>123149</v>
      </c>
    </row>
    <row r="173" spans="1:4" x14ac:dyDescent="0.25">
      <c r="A173">
        <v>2026</v>
      </c>
      <c r="B173" s="4" t="s">
        <v>353</v>
      </c>
      <c r="C173" t="s">
        <v>354</v>
      </c>
      <c r="D173" s="6">
        <v>0</v>
      </c>
    </row>
    <row r="174" spans="1:4" x14ac:dyDescent="0.25">
      <c r="A174">
        <v>2026</v>
      </c>
      <c r="B174" s="4" t="s">
        <v>355</v>
      </c>
      <c r="C174" t="s">
        <v>356</v>
      </c>
      <c r="D174" s="6">
        <v>270000</v>
      </c>
    </row>
    <row r="175" spans="1:4" x14ac:dyDescent="0.25">
      <c r="A175">
        <v>2026</v>
      </c>
      <c r="B175" s="4" t="s">
        <v>357</v>
      </c>
      <c r="C175" t="s">
        <v>358</v>
      </c>
      <c r="D175" s="6">
        <v>125000</v>
      </c>
    </row>
    <row r="176" spans="1:4" x14ac:dyDescent="0.25">
      <c r="A176">
        <v>2026</v>
      </c>
      <c r="B176" s="4" t="s">
        <v>359</v>
      </c>
      <c r="C176" t="s">
        <v>360</v>
      </c>
      <c r="D176" s="6">
        <v>0</v>
      </c>
    </row>
    <row r="177" spans="1:4" x14ac:dyDescent="0.25">
      <c r="A177">
        <v>2026</v>
      </c>
      <c r="B177" s="4" t="s">
        <v>361</v>
      </c>
      <c r="C177" t="s">
        <v>362</v>
      </c>
      <c r="D177" s="6">
        <v>0</v>
      </c>
    </row>
    <row r="178" spans="1:4" x14ac:dyDescent="0.25">
      <c r="A178">
        <v>2026</v>
      </c>
      <c r="B178" s="4" t="s">
        <v>363</v>
      </c>
      <c r="C178" t="s">
        <v>364</v>
      </c>
      <c r="D178" s="6">
        <v>200984</v>
      </c>
    </row>
    <row r="179" spans="1:4" x14ac:dyDescent="0.25">
      <c r="A179">
        <v>2026</v>
      </c>
      <c r="B179" s="4" t="s">
        <v>365</v>
      </c>
      <c r="C179" t="s">
        <v>366</v>
      </c>
      <c r="D179" s="6">
        <v>0</v>
      </c>
    </row>
    <row r="180" spans="1:4" x14ac:dyDescent="0.25">
      <c r="A180">
        <v>2026</v>
      </c>
      <c r="B180" s="4" t="s">
        <v>367</v>
      </c>
      <c r="C180" t="s">
        <v>368</v>
      </c>
      <c r="D180" s="6">
        <v>0</v>
      </c>
    </row>
    <row r="181" spans="1:4" x14ac:dyDescent="0.25">
      <c r="A181">
        <v>2026</v>
      </c>
      <c r="B181" s="4" t="s">
        <v>373</v>
      </c>
      <c r="C181" t="s">
        <v>374</v>
      </c>
      <c r="D181" s="6">
        <v>0</v>
      </c>
    </row>
    <row r="182" spans="1:4" x14ac:dyDescent="0.25">
      <c r="A182">
        <v>2026</v>
      </c>
      <c r="B182" s="4" t="s">
        <v>371</v>
      </c>
      <c r="C182" t="s">
        <v>372</v>
      </c>
      <c r="D182" s="6">
        <v>880000</v>
      </c>
    </row>
    <row r="183" spans="1:4" x14ac:dyDescent="0.25">
      <c r="A183">
        <v>2026</v>
      </c>
      <c r="B183" s="4" t="s">
        <v>375</v>
      </c>
      <c r="C183" t="s">
        <v>376</v>
      </c>
      <c r="D183" s="6">
        <v>410000</v>
      </c>
    </row>
    <row r="184" spans="1:4" x14ac:dyDescent="0.25">
      <c r="A184">
        <v>2026</v>
      </c>
      <c r="B184" s="4" t="s">
        <v>377</v>
      </c>
      <c r="C184" t="s">
        <v>378</v>
      </c>
      <c r="D184" s="6">
        <v>167314</v>
      </c>
    </row>
    <row r="185" spans="1:4" x14ac:dyDescent="0.25">
      <c r="A185">
        <v>2026</v>
      </c>
      <c r="B185" s="4" t="s">
        <v>379</v>
      </c>
      <c r="C185" t="s">
        <v>380</v>
      </c>
      <c r="D185" s="6">
        <v>0</v>
      </c>
    </row>
    <row r="186" spans="1:4" x14ac:dyDescent="0.25">
      <c r="A186">
        <v>2026</v>
      </c>
      <c r="B186" s="4" t="s">
        <v>381</v>
      </c>
      <c r="C186" t="s">
        <v>382</v>
      </c>
      <c r="D186" s="6">
        <v>818065</v>
      </c>
    </row>
    <row r="187" spans="1:4" x14ac:dyDescent="0.25">
      <c r="A187">
        <v>2026</v>
      </c>
      <c r="B187" s="4" t="s">
        <v>383</v>
      </c>
      <c r="C187" t="s">
        <v>384</v>
      </c>
      <c r="D187" s="6">
        <v>0</v>
      </c>
    </row>
    <row r="188" spans="1:4" x14ac:dyDescent="0.25">
      <c r="A188">
        <v>2026</v>
      </c>
      <c r="B188" s="4" t="s">
        <v>385</v>
      </c>
      <c r="C188" t="s">
        <v>386</v>
      </c>
      <c r="D188" s="6">
        <v>0</v>
      </c>
    </row>
    <row r="189" spans="1:4" x14ac:dyDescent="0.25">
      <c r="A189">
        <v>2026</v>
      </c>
      <c r="B189" s="4" t="s">
        <v>387</v>
      </c>
      <c r="C189" t="s">
        <v>388</v>
      </c>
      <c r="D189" s="6">
        <v>0</v>
      </c>
    </row>
    <row r="190" spans="1:4" x14ac:dyDescent="0.25">
      <c r="A190">
        <v>2026</v>
      </c>
      <c r="B190" s="4" t="s">
        <v>389</v>
      </c>
      <c r="C190" t="s">
        <v>390</v>
      </c>
      <c r="D190" s="6">
        <v>275000</v>
      </c>
    </row>
    <row r="191" spans="1:4" x14ac:dyDescent="0.25">
      <c r="A191">
        <v>2026</v>
      </c>
      <c r="B191" s="4" t="s">
        <v>391</v>
      </c>
      <c r="C191" t="s">
        <v>392</v>
      </c>
      <c r="D191" s="6">
        <v>75000</v>
      </c>
    </row>
    <row r="192" spans="1:4" x14ac:dyDescent="0.25">
      <c r="A192">
        <v>2026</v>
      </c>
      <c r="B192" s="4" t="s">
        <v>393</v>
      </c>
      <c r="C192" t="s">
        <v>394</v>
      </c>
      <c r="D192" s="6">
        <v>0</v>
      </c>
    </row>
    <row r="193" spans="1:4" x14ac:dyDescent="0.25">
      <c r="A193">
        <v>2026</v>
      </c>
      <c r="B193" s="4" t="s">
        <v>395</v>
      </c>
      <c r="C193" t="s">
        <v>396</v>
      </c>
      <c r="D193" s="6">
        <v>796340</v>
      </c>
    </row>
    <row r="194" spans="1:4" x14ac:dyDescent="0.25">
      <c r="A194">
        <v>2026</v>
      </c>
      <c r="B194" s="4" t="s">
        <v>397</v>
      </c>
      <c r="C194" t="s">
        <v>398</v>
      </c>
      <c r="D194" s="6">
        <v>0</v>
      </c>
    </row>
    <row r="195" spans="1:4" x14ac:dyDescent="0.25">
      <c r="A195">
        <v>2026</v>
      </c>
      <c r="B195" s="4" t="s">
        <v>399</v>
      </c>
      <c r="C195" t="s">
        <v>400</v>
      </c>
      <c r="D195" s="6">
        <v>1500000</v>
      </c>
    </row>
    <row r="196" spans="1:4" x14ac:dyDescent="0.25">
      <c r="A196">
        <v>2026</v>
      </c>
      <c r="B196" s="4" t="s">
        <v>401</v>
      </c>
      <c r="C196" t="s">
        <v>402</v>
      </c>
      <c r="D196" s="6">
        <v>0</v>
      </c>
    </row>
    <row r="197" spans="1:4" x14ac:dyDescent="0.25">
      <c r="A197">
        <v>2026</v>
      </c>
      <c r="B197" s="4" t="s">
        <v>403</v>
      </c>
      <c r="C197" t="s">
        <v>404</v>
      </c>
      <c r="D197" s="6">
        <v>733772</v>
      </c>
    </row>
    <row r="198" spans="1:4" x14ac:dyDescent="0.25">
      <c r="A198">
        <v>2026</v>
      </c>
      <c r="B198" s="4" t="s">
        <v>405</v>
      </c>
      <c r="C198" t="s">
        <v>406</v>
      </c>
      <c r="D198" s="6">
        <v>500000</v>
      </c>
    </row>
    <row r="199" spans="1:4" x14ac:dyDescent="0.25">
      <c r="A199">
        <v>2026</v>
      </c>
      <c r="B199" s="4" t="s">
        <v>407</v>
      </c>
      <c r="C199" t="s">
        <v>408</v>
      </c>
      <c r="D199" s="6">
        <v>161248</v>
      </c>
    </row>
    <row r="200" spans="1:4" x14ac:dyDescent="0.25">
      <c r="A200">
        <v>2026</v>
      </c>
      <c r="B200" s="4" t="s">
        <v>409</v>
      </c>
      <c r="C200" t="s">
        <v>410</v>
      </c>
      <c r="D200" s="6">
        <v>0</v>
      </c>
    </row>
    <row r="201" spans="1:4" x14ac:dyDescent="0.25">
      <c r="A201">
        <v>2026</v>
      </c>
      <c r="B201" s="4" t="s">
        <v>411</v>
      </c>
      <c r="C201" t="s">
        <v>412</v>
      </c>
      <c r="D201" s="6">
        <v>324259</v>
      </c>
    </row>
    <row r="202" spans="1:4" x14ac:dyDescent="0.25">
      <c r="A202">
        <v>2026</v>
      </c>
      <c r="B202" s="4" t="s">
        <v>413</v>
      </c>
      <c r="C202" t="s">
        <v>414</v>
      </c>
      <c r="D202" s="6">
        <v>0</v>
      </c>
    </row>
    <row r="203" spans="1:4" x14ac:dyDescent="0.25">
      <c r="A203">
        <v>2026</v>
      </c>
      <c r="B203" s="4" t="s">
        <v>415</v>
      </c>
      <c r="C203" t="s">
        <v>416</v>
      </c>
      <c r="D203" s="6">
        <v>43948</v>
      </c>
    </row>
    <row r="204" spans="1:4" x14ac:dyDescent="0.25">
      <c r="A204">
        <v>2026</v>
      </c>
      <c r="B204" s="4" t="s">
        <v>417</v>
      </c>
      <c r="C204" t="s">
        <v>418</v>
      </c>
      <c r="D204" s="6">
        <v>1430000</v>
      </c>
    </row>
    <row r="205" spans="1:4" x14ac:dyDescent="0.25">
      <c r="A205">
        <v>2026</v>
      </c>
      <c r="B205" s="4" t="s">
        <v>419</v>
      </c>
      <c r="C205" t="s">
        <v>420</v>
      </c>
      <c r="D205" s="6">
        <v>763057</v>
      </c>
    </row>
    <row r="206" spans="1:4" x14ac:dyDescent="0.25">
      <c r="A206">
        <v>2026</v>
      </c>
      <c r="B206" s="4" t="s">
        <v>421</v>
      </c>
      <c r="C206" t="s">
        <v>422</v>
      </c>
      <c r="D206" s="6">
        <v>375000</v>
      </c>
    </row>
    <row r="207" spans="1:4" x14ac:dyDescent="0.25">
      <c r="A207">
        <v>2026</v>
      </c>
      <c r="B207" s="4" t="s">
        <v>423</v>
      </c>
      <c r="C207" t="s">
        <v>424</v>
      </c>
      <c r="D207" s="6">
        <v>0</v>
      </c>
    </row>
    <row r="208" spans="1:4" x14ac:dyDescent="0.25">
      <c r="A208">
        <v>2026</v>
      </c>
      <c r="B208" s="4" t="s">
        <v>425</v>
      </c>
      <c r="C208" t="s">
        <v>426</v>
      </c>
      <c r="D208" s="6">
        <v>0</v>
      </c>
    </row>
    <row r="209" spans="1:4" x14ac:dyDescent="0.25">
      <c r="A209">
        <v>2026</v>
      </c>
      <c r="B209" s="4" t="s">
        <v>427</v>
      </c>
      <c r="C209" t="s">
        <v>428</v>
      </c>
      <c r="D209" s="6">
        <v>0</v>
      </c>
    </row>
    <row r="210" spans="1:4" x14ac:dyDescent="0.25">
      <c r="A210">
        <v>2026</v>
      </c>
      <c r="B210" s="4" t="s">
        <v>429</v>
      </c>
      <c r="C210" t="s">
        <v>430</v>
      </c>
      <c r="D210" s="6">
        <v>2373454</v>
      </c>
    </row>
    <row r="211" spans="1:4" x14ac:dyDescent="0.25">
      <c r="A211">
        <v>2026</v>
      </c>
      <c r="B211" s="4" t="s">
        <v>431</v>
      </c>
      <c r="C211" t="s">
        <v>432</v>
      </c>
      <c r="D211" s="6">
        <v>0</v>
      </c>
    </row>
    <row r="212" spans="1:4" x14ac:dyDescent="0.25">
      <c r="A212">
        <v>2026</v>
      </c>
      <c r="B212" s="4" t="s">
        <v>433</v>
      </c>
      <c r="C212" t="s">
        <v>434</v>
      </c>
      <c r="D212" s="6">
        <v>475000</v>
      </c>
    </row>
    <row r="213" spans="1:4" x14ac:dyDescent="0.25">
      <c r="A213">
        <v>2026</v>
      </c>
      <c r="B213" s="4" t="s">
        <v>435</v>
      </c>
      <c r="C213" t="s">
        <v>436</v>
      </c>
      <c r="D213" s="6">
        <v>0</v>
      </c>
    </row>
    <row r="214" spans="1:4" x14ac:dyDescent="0.25">
      <c r="A214">
        <v>2026</v>
      </c>
      <c r="B214" s="4" t="s">
        <v>437</v>
      </c>
      <c r="C214" t="s">
        <v>438</v>
      </c>
      <c r="D214" s="6">
        <v>95749</v>
      </c>
    </row>
    <row r="215" spans="1:4" x14ac:dyDescent="0.25">
      <c r="A215">
        <v>2026</v>
      </c>
      <c r="B215" s="4" t="s">
        <v>440</v>
      </c>
      <c r="C215" t="s">
        <v>441</v>
      </c>
      <c r="D215" s="6">
        <v>0</v>
      </c>
    </row>
    <row r="216" spans="1:4" x14ac:dyDescent="0.25">
      <c r="A216">
        <v>2026</v>
      </c>
      <c r="B216" s="4" t="s">
        <v>442</v>
      </c>
      <c r="C216" t="s">
        <v>443</v>
      </c>
      <c r="D216" s="6">
        <v>130500</v>
      </c>
    </row>
    <row r="217" spans="1:4" x14ac:dyDescent="0.25">
      <c r="A217">
        <v>2026</v>
      </c>
      <c r="B217" s="4" t="s">
        <v>444</v>
      </c>
      <c r="C217" t="s">
        <v>445</v>
      </c>
      <c r="D217" s="6">
        <v>0</v>
      </c>
    </row>
    <row r="218" spans="1:4" x14ac:dyDescent="0.25">
      <c r="A218">
        <v>2026</v>
      </c>
      <c r="B218" s="4" t="s">
        <v>446</v>
      </c>
      <c r="C218" t="s">
        <v>447</v>
      </c>
      <c r="D218" s="6">
        <v>0</v>
      </c>
    </row>
    <row r="219" spans="1:4" x14ac:dyDescent="0.25">
      <c r="A219">
        <v>2026</v>
      </c>
      <c r="B219" s="4" t="s">
        <v>448</v>
      </c>
      <c r="C219" t="s">
        <v>449</v>
      </c>
      <c r="D219" s="6">
        <v>0</v>
      </c>
    </row>
    <row r="220" spans="1:4" x14ac:dyDescent="0.25">
      <c r="A220">
        <v>2026</v>
      </c>
      <c r="B220" s="4" t="s">
        <v>450</v>
      </c>
      <c r="C220" t="s">
        <v>451</v>
      </c>
      <c r="D220">
        <v>0</v>
      </c>
    </row>
    <row r="221" spans="1:4" x14ac:dyDescent="0.25">
      <c r="A221">
        <v>2026</v>
      </c>
      <c r="B221" s="4" t="s">
        <v>452</v>
      </c>
      <c r="C221" t="s">
        <v>453</v>
      </c>
      <c r="D221" s="6">
        <v>0</v>
      </c>
    </row>
    <row r="222" spans="1:4" x14ac:dyDescent="0.25">
      <c r="A222">
        <v>2026</v>
      </c>
      <c r="B222" s="4" t="s">
        <v>454</v>
      </c>
      <c r="C222" t="s">
        <v>455</v>
      </c>
      <c r="D222" s="6">
        <v>153645</v>
      </c>
    </row>
    <row r="223" spans="1:4" x14ac:dyDescent="0.25">
      <c r="A223">
        <v>2026</v>
      </c>
      <c r="B223" s="4" t="s">
        <v>456</v>
      </c>
      <c r="C223" t="s">
        <v>457</v>
      </c>
      <c r="D223" s="6">
        <v>729729</v>
      </c>
    </row>
    <row r="224" spans="1:4" x14ac:dyDescent="0.25">
      <c r="A224">
        <v>2026</v>
      </c>
      <c r="B224" s="4" t="s">
        <v>458</v>
      </c>
      <c r="C224" t="s">
        <v>459</v>
      </c>
      <c r="D224" s="6">
        <v>1645836</v>
      </c>
    </row>
    <row r="225" spans="1:4" x14ac:dyDescent="0.25">
      <c r="A225">
        <v>2026</v>
      </c>
      <c r="B225" s="4" t="s">
        <v>460</v>
      </c>
      <c r="C225" t="s">
        <v>461</v>
      </c>
      <c r="D225" s="6">
        <v>2090000</v>
      </c>
    </row>
    <row r="226" spans="1:4" x14ac:dyDescent="0.25">
      <c r="A226">
        <v>2026</v>
      </c>
      <c r="B226" s="4" t="s">
        <v>466</v>
      </c>
      <c r="C226" t="s">
        <v>468</v>
      </c>
      <c r="D226" s="6">
        <v>334297</v>
      </c>
    </row>
    <row r="227" spans="1:4" x14ac:dyDescent="0.25">
      <c r="A227">
        <v>2026</v>
      </c>
      <c r="B227" s="4" t="s">
        <v>462</v>
      </c>
      <c r="C227" t="s">
        <v>463</v>
      </c>
      <c r="D227" s="6">
        <v>429723</v>
      </c>
    </row>
    <row r="228" spans="1:4" x14ac:dyDescent="0.25">
      <c r="A228">
        <v>2026</v>
      </c>
      <c r="B228" s="4" t="s">
        <v>464</v>
      </c>
      <c r="C228" t="s">
        <v>465</v>
      </c>
      <c r="D228" s="6">
        <v>410000</v>
      </c>
    </row>
    <row r="229" spans="1:4" x14ac:dyDescent="0.25">
      <c r="A229">
        <v>2026</v>
      </c>
      <c r="B229" s="4" t="s">
        <v>469</v>
      </c>
      <c r="C229" t="s">
        <v>470</v>
      </c>
      <c r="D229" s="6">
        <v>600000</v>
      </c>
    </row>
    <row r="230" spans="1:4" x14ac:dyDescent="0.25">
      <c r="A230">
        <v>2026</v>
      </c>
      <c r="B230" s="4" t="s">
        <v>471</v>
      </c>
      <c r="C230" t="s">
        <v>472</v>
      </c>
      <c r="D230" s="6">
        <v>1258142</v>
      </c>
    </row>
    <row r="231" spans="1:4" x14ac:dyDescent="0.25">
      <c r="A231">
        <v>2026</v>
      </c>
      <c r="B231" s="4" t="s">
        <v>473</v>
      </c>
      <c r="C231" t="s">
        <v>474</v>
      </c>
      <c r="D231" s="6">
        <v>1285031</v>
      </c>
    </row>
    <row r="232" spans="1:4" x14ac:dyDescent="0.25">
      <c r="A232">
        <v>2026</v>
      </c>
      <c r="B232" s="4" t="s">
        <v>475</v>
      </c>
      <c r="C232" t="s">
        <v>476</v>
      </c>
      <c r="D232" s="6">
        <v>0</v>
      </c>
    </row>
    <row r="233" spans="1:4" x14ac:dyDescent="0.25">
      <c r="A233">
        <v>2026</v>
      </c>
      <c r="B233" s="4" t="s">
        <v>477</v>
      </c>
      <c r="C233" t="s">
        <v>478</v>
      </c>
      <c r="D233" s="6">
        <v>0</v>
      </c>
    </row>
    <row r="234" spans="1:4" x14ac:dyDescent="0.25">
      <c r="A234">
        <v>2026</v>
      </c>
      <c r="B234" s="4" t="s">
        <v>479</v>
      </c>
      <c r="C234" t="s">
        <v>480</v>
      </c>
      <c r="D234" s="6">
        <v>0</v>
      </c>
    </row>
    <row r="235" spans="1:4" x14ac:dyDescent="0.25">
      <c r="A235">
        <v>2026</v>
      </c>
      <c r="B235" s="4" t="s">
        <v>481</v>
      </c>
      <c r="C235" t="s">
        <v>482</v>
      </c>
      <c r="D235" s="6">
        <v>0</v>
      </c>
    </row>
    <row r="236" spans="1:4" x14ac:dyDescent="0.25">
      <c r="A236">
        <v>2026</v>
      </c>
      <c r="B236" s="4" t="s">
        <v>484</v>
      </c>
      <c r="C236" t="s">
        <v>485</v>
      </c>
      <c r="D236" s="6">
        <v>0</v>
      </c>
    </row>
    <row r="237" spans="1:4" x14ac:dyDescent="0.25">
      <c r="A237">
        <v>2026</v>
      </c>
      <c r="B237" s="4" t="s">
        <v>486</v>
      </c>
      <c r="C237" t="s">
        <v>487</v>
      </c>
      <c r="D237" s="6">
        <v>0</v>
      </c>
    </row>
    <row r="238" spans="1:4" x14ac:dyDescent="0.25">
      <c r="A238">
        <v>2026</v>
      </c>
      <c r="B238" s="4" t="s">
        <v>488</v>
      </c>
      <c r="C238" t="s">
        <v>489</v>
      </c>
      <c r="D238" s="6">
        <v>96637</v>
      </c>
    </row>
    <row r="239" spans="1:4" x14ac:dyDescent="0.25">
      <c r="A239">
        <v>2026</v>
      </c>
      <c r="B239" s="4" t="s">
        <v>490</v>
      </c>
      <c r="C239" t="s">
        <v>491</v>
      </c>
      <c r="D239" s="6">
        <v>490715</v>
      </c>
    </row>
    <row r="240" spans="1:4" x14ac:dyDescent="0.25">
      <c r="A240">
        <v>2026</v>
      </c>
      <c r="B240" s="4" t="s">
        <v>492</v>
      </c>
      <c r="C240" t="s">
        <v>494</v>
      </c>
      <c r="D240" s="6">
        <v>1050000</v>
      </c>
    </row>
    <row r="241" spans="1:4" x14ac:dyDescent="0.25">
      <c r="A241">
        <v>2026</v>
      </c>
      <c r="B241" s="4" t="s">
        <v>495</v>
      </c>
      <c r="C241" t="s">
        <v>496</v>
      </c>
      <c r="D241" s="6">
        <v>0</v>
      </c>
    </row>
    <row r="242" spans="1:4" x14ac:dyDescent="0.25">
      <c r="A242">
        <v>2026</v>
      </c>
      <c r="B242" s="4" t="s">
        <v>497</v>
      </c>
      <c r="C242" t="s">
        <v>498</v>
      </c>
      <c r="D242" s="6">
        <v>0</v>
      </c>
    </row>
    <row r="243" spans="1:4" x14ac:dyDescent="0.25">
      <c r="A243">
        <v>2026</v>
      </c>
      <c r="B243" s="4" t="s">
        <v>499</v>
      </c>
      <c r="C243" t="s">
        <v>500</v>
      </c>
      <c r="D243" s="6">
        <v>0</v>
      </c>
    </row>
    <row r="244" spans="1:4" x14ac:dyDescent="0.25">
      <c r="A244">
        <v>2026</v>
      </c>
      <c r="B244" s="4" t="s">
        <v>501</v>
      </c>
      <c r="C244" t="s">
        <v>502</v>
      </c>
      <c r="D244" s="6">
        <v>0</v>
      </c>
    </row>
    <row r="245" spans="1:4" x14ac:dyDescent="0.25">
      <c r="A245">
        <v>2026</v>
      </c>
      <c r="B245" s="4" t="s">
        <v>503</v>
      </c>
      <c r="C245" t="s">
        <v>504</v>
      </c>
      <c r="D245" s="6">
        <v>523271</v>
      </c>
    </row>
    <row r="246" spans="1:4" x14ac:dyDescent="0.25">
      <c r="A246">
        <v>2026</v>
      </c>
      <c r="B246" s="4" t="s">
        <v>505</v>
      </c>
      <c r="C246" t="s">
        <v>506</v>
      </c>
      <c r="D246" s="6">
        <v>0</v>
      </c>
    </row>
    <row r="247" spans="1:4" x14ac:dyDescent="0.25">
      <c r="A247">
        <v>2026</v>
      </c>
      <c r="B247" s="4" t="s">
        <v>507</v>
      </c>
      <c r="C247" t="s">
        <v>508</v>
      </c>
      <c r="D247" s="6">
        <v>0</v>
      </c>
    </row>
    <row r="248" spans="1:4" x14ac:dyDescent="0.25">
      <c r="A248">
        <v>2026</v>
      </c>
      <c r="B248" s="4" t="s">
        <v>509</v>
      </c>
      <c r="C248" t="s">
        <v>510</v>
      </c>
      <c r="D248" s="6">
        <v>840657</v>
      </c>
    </row>
    <row r="249" spans="1:4" x14ac:dyDescent="0.25">
      <c r="A249">
        <v>2026</v>
      </c>
      <c r="B249" s="4" t="s">
        <v>511</v>
      </c>
      <c r="C249" t="s">
        <v>512</v>
      </c>
      <c r="D249">
        <v>0</v>
      </c>
    </row>
    <row r="250" spans="1:4" x14ac:dyDescent="0.25">
      <c r="A250">
        <v>2026</v>
      </c>
      <c r="B250" s="4" t="s">
        <v>513</v>
      </c>
      <c r="C250" t="s">
        <v>514</v>
      </c>
      <c r="D250" s="6">
        <v>0</v>
      </c>
    </row>
    <row r="251" spans="1:4" x14ac:dyDescent="0.25">
      <c r="A251">
        <v>2026</v>
      </c>
      <c r="B251" s="4" t="s">
        <v>515</v>
      </c>
      <c r="C251" t="s">
        <v>516</v>
      </c>
      <c r="D251" s="6">
        <v>2035000</v>
      </c>
    </row>
    <row r="252" spans="1:4" x14ac:dyDescent="0.25">
      <c r="A252">
        <v>2026</v>
      </c>
      <c r="B252" s="4" t="s">
        <v>517</v>
      </c>
      <c r="C252" t="s">
        <v>518</v>
      </c>
      <c r="D252" s="6">
        <v>0</v>
      </c>
    </row>
    <row r="253" spans="1:4" x14ac:dyDescent="0.25">
      <c r="A253">
        <v>2026</v>
      </c>
      <c r="B253" s="4" t="s">
        <v>519</v>
      </c>
      <c r="C253" t="s">
        <v>520</v>
      </c>
      <c r="D253" s="6">
        <v>48600</v>
      </c>
    </row>
    <row r="254" spans="1:4" x14ac:dyDescent="0.25">
      <c r="A254">
        <v>2026</v>
      </c>
      <c r="B254" s="4" t="s">
        <v>521</v>
      </c>
      <c r="C254" t="s">
        <v>522</v>
      </c>
      <c r="D254" s="6">
        <v>0</v>
      </c>
    </row>
    <row r="255" spans="1:4" x14ac:dyDescent="0.25">
      <c r="A255">
        <v>2026</v>
      </c>
      <c r="B255" s="4" t="s">
        <v>523</v>
      </c>
      <c r="C255" t="s">
        <v>524</v>
      </c>
      <c r="D255" s="6">
        <v>0</v>
      </c>
    </row>
    <row r="256" spans="1:4" x14ac:dyDescent="0.25">
      <c r="A256">
        <v>2026</v>
      </c>
      <c r="B256" s="4" t="s">
        <v>525</v>
      </c>
      <c r="C256" t="s">
        <v>527</v>
      </c>
      <c r="D256" s="6">
        <v>0</v>
      </c>
    </row>
    <row r="257" spans="1:4" x14ac:dyDescent="0.25">
      <c r="A257">
        <v>2026</v>
      </c>
      <c r="B257" s="4" t="s">
        <v>528</v>
      </c>
      <c r="C257" t="s">
        <v>529</v>
      </c>
      <c r="D257" s="6">
        <v>0</v>
      </c>
    </row>
    <row r="258" spans="1:4" x14ac:dyDescent="0.25">
      <c r="A258">
        <v>2026</v>
      </c>
      <c r="B258" s="4" t="s">
        <v>530</v>
      </c>
      <c r="C258" t="s">
        <v>531</v>
      </c>
      <c r="D258" s="6">
        <v>0</v>
      </c>
    </row>
    <row r="259" spans="1:4" x14ac:dyDescent="0.25">
      <c r="A259">
        <v>2026</v>
      </c>
      <c r="B259" s="4" t="s">
        <v>532</v>
      </c>
      <c r="C259" t="s">
        <v>533</v>
      </c>
      <c r="D259" s="6">
        <v>0</v>
      </c>
    </row>
    <row r="260" spans="1:4" x14ac:dyDescent="0.25">
      <c r="A260">
        <v>2026</v>
      </c>
      <c r="B260" s="4" t="s">
        <v>534</v>
      </c>
      <c r="C260" t="s">
        <v>535</v>
      </c>
      <c r="D260" s="6">
        <v>0</v>
      </c>
    </row>
    <row r="261" spans="1:4" x14ac:dyDescent="0.25">
      <c r="A261">
        <v>2026</v>
      </c>
      <c r="B261" s="4" t="s">
        <v>536</v>
      </c>
      <c r="C261" t="s">
        <v>538</v>
      </c>
      <c r="D261" s="6">
        <v>0</v>
      </c>
    </row>
    <row r="262" spans="1:4" x14ac:dyDescent="0.25">
      <c r="A262">
        <v>2026</v>
      </c>
      <c r="B262" s="4" t="s">
        <v>539</v>
      </c>
      <c r="C262" t="s">
        <v>540</v>
      </c>
      <c r="D262" s="6">
        <v>0</v>
      </c>
    </row>
    <row r="263" spans="1:4" x14ac:dyDescent="0.25">
      <c r="A263">
        <v>2026</v>
      </c>
      <c r="B263" s="4" t="s">
        <v>541</v>
      </c>
      <c r="C263" t="s">
        <v>542</v>
      </c>
      <c r="D263" s="6">
        <v>596756</v>
      </c>
    </row>
    <row r="264" spans="1:4" x14ac:dyDescent="0.25">
      <c r="A264">
        <v>2026</v>
      </c>
      <c r="B264" s="4" t="s">
        <v>543</v>
      </c>
      <c r="C264" t="s">
        <v>544</v>
      </c>
      <c r="D264" s="6">
        <v>478724</v>
      </c>
    </row>
    <row r="265" spans="1:4" x14ac:dyDescent="0.25">
      <c r="A265">
        <v>2026</v>
      </c>
      <c r="B265" s="4" t="s">
        <v>545</v>
      </c>
      <c r="C265" t="s">
        <v>546</v>
      </c>
      <c r="D265" s="6">
        <v>2225261</v>
      </c>
    </row>
    <row r="266" spans="1:4" x14ac:dyDescent="0.25">
      <c r="A266">
        <v>2026</v>
      </c>
      <c r="B266" s="4" t="s">
        <v>549</v>
      </c>
      <c r="C266" t="s">
        <v>1013</v>
      </c>
      <c r="D266" s="6">
        <v>0</v>
      </c>
    </row>
    <row r="267" spans="1:4" x14ac:dyDescent="0.25">
      <c r="A267">
        <v>2026</v>
      </c>
      <c r="B267" s="4" t="s">
        <v>547</v>
      </c>
      <c r="C267" t="s">
        <v>548</v>
      </c>
      <c r="D267" s="6">
        <v>601577</v>
      </c>
    </row>
    <row r="268" spans="1:4" x14ac:dyDescent="0.25">
      <c r="A268">
        <v>2026</v>
      </c>
      <c r="B268" s="4" t="s">
        <v>550</v>
      </c>
      <c r="C268" t="s">
        <v>551</v>
      </c>
      <c r="D268" s="6">
        <v>754080</v>
      </c>
    </row>
    <row r="269" spans="1:4" x14ac:dyDescent="0.25">
      <c r="A269">
        <v>2026</v>
      </c>
      <c r="B269" s="4" t="s">
        <v>552</v>
      </c>
      <c r="C269" t="s">
        <v>553</v>
      </c>
      <c r="D269" s="6">
        <v>0</v>
      </c>
    </row>
    <row r="270" spans="1:4" x14ac:dyDescent="0.25">
      <c r="A270">
        <v>2026</v>
      </c>
      <c r="B270" s="4" t="s">
        <v>554</v>
      </c>
      <c r="C270" t="s">
        <v>555</v>
      </c>
      <c r="D270" s="6">
        <v>104546</v>
      </c>
    </row>
    <row r="271" spans="1:4" x14ac:dyDescent="0.25">
      <c r="A271">
        <v>2026</v>
      </c>
      <c r="B271" s="4" t="s">
        <v>556</v>
      </c>
      <c r="C271" t="s">
        <v>557</v>
      </c>
      <c r="D271" s="6">
        <v>0</v>
      </c>
    </row>
    <row r="272" spans="1:4" x14ac:dyDescent="0.25">
      <c r="A272">
        <v>2026</v>
      </c>
      <c r="B272" s="4" t="s">
        <v>558</v>
      </c>
      <c r="C272" t="s">
        <v>559</v>
      </c>
      <c r="D272" s="6">
        <v>0</v>
      </c>
    </row>
    <row r="273" spans="1:4" x14ac:dyDescent="0.25">
      <c r="A273">
        <v>2026</v>
      </c>
      <c r="B273" s="4" t="s">
        <v>560</v>
      </c>
      <c r="C273" t="s">
        <v>561</v>
      </c>
      <c r="D273" s="6">
        <v>0</v>
      </c>
    </row>
    <row r="274" spans="1:4" x14ac:dyDescent="0.25">
      <c r="A274">
        <v>2026</v>
      </c>
      <c r="B274" s="4" t="s">
        <v>562</v>
      </c>
      <c r="C274" t="s">
        <v>563</v>
      </c>
      <c r="D274" s="6">
        <v>1150959</v>
      </c>
    </row>
    <row r="275" spans="1:4" x14ac:dyDescent="0.25">
      <c r="A275">
        <v>2026</v>
      </c>
      <c r="B275" s="4" t="s">
        <v>564</v>
      </c>
      <c r="C275" t="s">
        <v>565</v>
      </c>
      <c r="D275" s="6">
        <v>176000</v>
      </c>
    </row>
    <row r="276" spans="1:4" x14ac:dyDescent="0.25">
      <c r="A276">
        <v>2026</v>
      </c>
      <c r="B276" s="4" t="s">
        <v>566</v>
      </c>
      <c r="C276" t="s">
        <v>567</v>
      </c>
      <c r="D276" s="6">
        <v>202000</v>
      </c>
    </row>
    <row r="277" spans="1:4" x14ac:dyDescent="0.25">
      <c r="A277">
        <v>2026</v>
      </c>
      <c r="B277" s="4" t="s">
        <v>568</v>
      </c>
      <c r="C277" t="s">
        <v>569</v>
      </c>
      <c r="D277" s="6">
        <v>340767</v>
      </c>
    </row>
    <row r="278" spans="1:4" x14ac:dyDescent="0.25">
      <c r="A278">
        <v>2026</v>
      </c>
      <c r="B278" s="4" t="s">
        <v>570</v>
      </c>
      <c r="C278" t="s">
        <v>571</v>
      </c>
      <c r="D278" s="6">
        <v>0</v>
      </c>
    </row>
    <row r="279" spans="1:4" x14ac:dyDescent="0.25">
      <c r="A279">
        <v>2026</v>
      </c>
      <c r="B279" s="4" t="s">
        <v>572</v>
      </c>
      <c r="C279" t="s">
        <v>573</v>
      </c>
      <c r="D279" s="6">
        <v>0</v>
      </c>
    </row>
    <row r="280" spans="1:4" x14ac:dyDescent="0.25">
      <c r="A280">
        <v>2026</v>
      </c>
      <c r="B280" s="4" t="s">
        <v>574</v>
      </c>
      <c r="C280" t="s">
        <v>575</v>
      </c>
      <c r="D280" s="6">
        <v>0</v>
      </c>
    </row>
    <row r="281" spans="1:4" x14ac:dyDescent="0.25">
      <c r="A281">
        <v>2026</v>
      </c>
      <c r="B281" s="4" t="s">
        <v>576</v>
      </c>
      <c r="C281" t="s">
        <v>577</v>
      </c>
      <c r="D281" s="6">
        <v>450000</v>
      </c>
    </row>
    <row r="282" spans="1:4" x14ac:dyDescent="0.25">
      <c r="A282">
        <v>2026</v>
      </c>
      <c r="B282" s="4" t="s">
        <v>578</v>
      </c>
      <c r="C282" t="s">
        <v>579</v>
      </c>
      <c r="D282" s="6">
        <v>0</v>
      </c>
    </row>
    <row r="283" spans="1:4" x14ac:dyDescent="0.25">
      <c r="A283">
        <v>2026</v>
      </c>
      <c r="B283" s="4" t="s">
        <v>580</v>
      </c>
      <c r="C283" t="s">
        <v>581</v>
      </c>
      <c r="D283" s="6">
        <v>0</v>
      </c>
    </row>
    <row r="284" spans="1:4" x14ac:dyDescent="0.25">
      <c r="A284">
        <v>2026</v>
      </c>
      <c r="B284" s="4" t="s">
        <v>582</v>
      </c>
      <c r="C284" t="s">
        <v>583</v>
      </c>
      <c r="D284" s="6">
        <v>0</v>
      </c>
    </row>
    <row r="285" spans="1:4" x14ac:dyDescent="0.25">
      <c r="A285">
        <v>2026</v>
      </c>
      <c r="B285" s="4" t="s">
        <v>584</v>
      </c>
      <c r="C285" t="s">
        <v>585</v>
      </c>
      <c r="D285" s="6">
        <v>507536</v>
      </c>
    </row>
    <row r="286" spans="1:4" x14ac:dyDescent="0.25">
      <c r="A286">
        <v>2026</v>
      </c>
      <c r="B286" s="4" t="s">
        <v>586</v>
      </c>
      <c r="C286" t="s">
        <v>588</v>
      </c>
      <c r="D286" s="6">
        <v>64793</v>
      </c>
    </row>
    <row r="287" spans="1:4" x14ac:dyDescent="0.25">
      <c r="A287">
        <v>2026</v>
      </c>
      <c r="B287" s="4" t="s">
        <v>589</v>
      </c>
      <c r="C287" t="s">
        <v>590</v>
      </c>
      <c r="D287" s="6">
        <v>0</v>
      </c>
    </row>
    <row r="288" spans="1:4" x14ac:dyDescent="0.25">
      <c r="A288">
        <v>2026</v>
      </c>
      <c r="B288" s="4" t="s">
        <v>591</v>
      </c>
      <c r="C288" t="s">
        <v>592</v>
      </c>
      <c r="D288" s="6">
        <v>4793000</v>
      </c>
    </row>
    <row r="289" spans="1:4" x14ac:dyDescent="0.25">
      <c r="A289">
        <v>2026</v>
      </c>
      <c r="B289" s="4" t="s">
        <v>593</v>
      </c>
      <c r="C289" t="s">
        <v>688</v>
      </c>
      <c r="D289" s="6">
        <v>0</v>
      </c>
    </row>
    <row r="290" spans="1:4" x14ac:dyDescent="0.25">
      <c r="A290">
        <v>2026</v>
      </c>
      <c r="B290" s="4" t="s">
        <v>594</v>
      </c>
      <c r="C290" t="s">
        <v>595</v>
      </c>
      <c r="D290" s="6">
        <v>0</v>
      </c>
    </row>
    <row r="291" spans="1:4" x14ac:dyDescent="0.25">
      <c r="A291">
        <v>2026</v>
      </c>
      <c r="B291" s="4" t="s">
        <v>596</v>
      </c>
      <c r="C291" t="s">
        <v>597</v>
      </c>
      <c r="D291">
        <v>0</v>
      </c>
    </row>
    <row r="292" spans="1:4" x14ac:dyDescent="0.25">
      <c r="A292">
        <v>2026</v>
      </c>
      <c r="B292" s="4" t="s">
        <v>598</v>
      </c>
      <c r="C292" t="s">
        <v>599</v>
      </c>
      <c r="D292" s="6">
        <v>1692699</v>
      </c>
    </row>
    <row r="293" spans="1:4" x14ac:dyDescent="0.25">
      <c r="A293">
        <v>2026</v>
      </c>
      <c r="B293" s="4" t="s">
        <v>600</v>
      </c>
      <c r="C293" t="s">
        <v>601</v>
      </c>
      <c r="D293" s="6">
        <v>150000</v>
      </c>
    </row>
    <row r="294" spans="1:4" x14ac:dyDescent="0.25">
      <c r="A294">
        <v>2026</v>
      </c>
      <c r="B294" s="4" t="s">
        <v>602</v>
      </c>
      <c r="C294" t="s">
        <v>603</v>
      </c>
      <c r="D294" s="6">
        <v>536139</v>
      </c>
    </row>
    <row r="295" spans="1:4" x14ac:dyDescent="0.25">
      <c r="A295">
        <v>2026</v>
      </c>
      <c r="B295" s="4" t="s">
        <v>604</v>
      </c>
      <c r="C295" t="s">
        <v>605</v>
      </c>
      <c r="D295" s="6">
        <v>450000</v>
      </c>
    </row>
    <row r="296" spans="1:4" x14ac:dyDescent="0.25">
      <c r="A296">
        <v>2026</v>
      </c>
      <c r="B296" s="4" t="s">
        <v>606</v>
      </c>
      <c r="C296" t="s">
        <v>607</v>
      </c>
      <c r="D296" s="6">
        <v>829523</v>
      </c>
    </row>
    <row r="297" spans="1:4" x14ac:dyDescent="0.25">
      <c r="A297">
        <v>2026</v>
      </c>
      <c r="B297" s="4" t="s">
        <v>608</v>
      </c>
      <c r="C297" t="s">
        <v>609</v>
      </c>
      <c r="D297" s="6">
        <v>11000000</v>
      </c>
    </row>
    <row r="298" spans="1:4" x14ac:dyDescent="0.25">
      <c r="A298">
        <v>2026</v>
      </c>
      <c r="B298" s="4" t="s">
        <v>610</v>
      </c>
      <c r="C298" t="s">
        <v>611</v>
      </c>
      <c r="D298" s="6">
        <v>13463771</v>
      </c>
    </row>
    <row r="299" spans="1:4" x14ac:dyDescent="0.25">
      <c r="A299">
        <v>2026</v>
      </c>
      <c r="B299" s="4" t="s">
        <v>612</v>
      </c>
      <c r="C299" t="s">
        <v>613</v>
      </c>
      <c r="D299" s="6">
        <v>1317194</v>
      </c>
    </row>
    <row r="300" spans="1:4" x14ac:dyDescent="0.25">
      <c r="A300">
        <v>2026</v>
      </c>
      <c r="B300" s="4" t="s">
        <v>614</v>
      </c>
      <c r="C300" t="s">
        <v>615</v>
      </c>
      <c r="D300" s="6">
        <v>0</v>
      </c>
    </row>
    <row r="301" spans="1:4" x14ac:dyDescent="0.25">
      <c r="A301">
        <v>2026</v>
      </c>
      <c r="B301" s="4" t="s">
        <v>616</v>
      </c>
      <c r="C301" t="s">
        <v>617</v>
      </c>
      <c r="D301" s="6">
        <v>0</v>
      </c>
    </row>
    <row r="302" spans="1:4" x14ac:dyDescent="0.25">
      <c r="A302">
        <v>2026</v>
      </c>
      <c r="B302" s="4" t="s">
        <v>618</v>
      </c>
      <c r="C302" t="s">
        <v>619</v>
      </c>
      <c r="D302" s="6">
        <v>0</v>
      </c>
    </row>
    <row r="303" spans="1:4" x14ac:dyDescent="0.25">
      <c r="A303">
        <v>2026</v>
      </c>
      <c r="B303" s="4" t="s">
        <v>620</v>
      </c>
      <c r="C303" t="s">
        <v>621</v>
      </c>
      <c r="D303" s="6">
        <v>643862</v>
      </c>
    </row>
    <row r="304" spans="1:4" x14ac:dyDescent="0.25">
      <c r="A304">
        <v>2026</v>
      </c>
      <c r="B304" s="4" t="s">
        <v>622</v>
      </c>
      <c r="C304" t="s">
        <v>623</v>
      </c>
      <c r="D304" s="6">
        <v>229737</v>
      </c>
    </row>
    <row r="305" spans="1:4" x14ac:dyDescent="0.25">
      <c r="A305">
        <v>2026</v>
      </c>
      <c r="B305" s="4" t="s">
        <v>624</v>
      </c>
      <c r="C305" t="s">
        <v>625</v>
      </c>
      <c r="D305" s="6">
        <v>0</v>
      </c>
    </row>
    <row r="306" spans="1:4" x14ac:dyDescent="0.25">
      <c r="A306">
        <v>2026</v>
      </c>
      <c r="B306" s="4" t="s">
        <v>626</v>
      </c>
      <c r="C306" t="s">
        <v>627</v>
      </c>
      <c r="D306" s="6">
        <v>0</v>
      </c>
    </row>
    <row r="307" spans="1:4" x14ac:dyDescent="0.25">
      <c r="A307">
        <v>2026</v>
      </c>
      <c r="B307" s="4" t="s">
        <v>628</v>
      </c>
      <c r="C307" t="s">
        <v>629</v>
      </c>
      <c r="D307" s="6">
        <v>1291913</v>
      </c>
    </row>
    <row r="308" spans="1:4" x14ac:dyDescent="0.25">
      <c r="A308">
        <v>2026</v>
      </c>
      <c r="B308" s="4" t="s">
        <v>630</v>
      </c>
      <c r="C308" t="s">
        <v>631</v>
      </c>
      <c r="D308" s="6">
        <v>6996423</v>
      </c>
    </row>
    <row r="309" spans="1:4" x14ac:dyDescent="0.25">
      <c r="A309">
        <v>2026</v>
      </c>
      <c r="B309" s="4" t="s">
        <v>632</v>
      </c>
      <c r="C309" t="s">
        <v>633</v>
      </c>
      <c r="D309" s="6">
        <v>250000</v>
      </c>
    </row>
    <row r="310" spans="1:4" x14ac:dyDescent="0.25">
      <c r="A310">
        <v>2026</v>
      </c>
      <c r="B310" s="4" t="s">
        <v>634</v>
      </c>
      <c r="C310" t="s">
        <v>635</v>
      </c>
      <c r="D310" s="6">
        <v>0</v>
      </c>
    </row>
    <row r="311" spans="1:4" x14ac:dyDescent="0.25">
      <c r="A311">
        <v>2026</v>
      </c>
      <c r="B311" s="4" t="s">
        <v>636</v>
      </c>
      <c r="C311" t="s">
        <v>637</v>
      </c>
      <c r="D311" s="6">
        <v>300000</v>
      </c>
    </row>
    <row r="312" spans="1:4" x14ac:dyDescent="0.25">
      <c r="A312">
        <v>2026</v>
      </c>
      <c r="B312" s="4" t="s">
        <v>638</v>
      </c>
      <c r="C312" t="s">
        <v>639</v>
      </c>
      <c r="D312" s="6">
        <v>0</v>
      </c>
    </row>
    <row r="313" spans="1:4" x14ac:dyDescent="0.25">
      <c r="A313">
        <v>2026</v>
      </c>
      <c r="B313" s="4" t="s">
        <v>640</v>
      </c>
      <c r="C313" t="s">
        <v>641</v>
      </c>
      <c r="D313" s="6">
        <v>0</v>
      </c>
    </row>
    <row r="314" spans="1:4" x14ac:dyDescent="0.25">
      <c r="A314">
        <v>2026</v>
      </c>
      <c r="B314" s="4" t="s">
        <v>642</v>
      </c>
      <c r="C314" t="s">
        <v>643</v>
      </c>
      <c r="D314">
        <v>0</v>
      </c>
    </row>
    <row r="315" spans="1:4" x14ac:dyDescent="0.25">
      <c r="A315">
        <v>2026</v>
      </c>
      <c r="B315" s="4" t="s">
        <v>644</v>
      </c>
      <c r="C315" t="s">
        <v>645</v>
      </c>
      <c r="D315" s="6">
        <v>0</v>
      </c>
    </row>
    <row r="316" spans="1:4" x14ac:dyDescent="0.25">
      <c r="A316">
        <v>2026</v>
      </c>
      <c r="B316" s="4" t="s">
        <v>646</v>
      </c>
      <c r="C316" t="s">
        <v>647</v>
      </c>
      <c r="D316" s="6">
        <v>0</v>
      </c>
    </row>
    <row r="317" spans="1:4" x14ac:dyDescent="0.25">
      <c r="A317">
        <v>2026</v>
      </c>
      <c r="B317" s="4" t="s">
        <v>648</v>
      </c>
      <c r="C317" t="s">
        <v>649</v>
      </c>
      <c r="D317" s="6">
        <v>49958</v>
      </c>
    </row>
    <row r="318" spans="1:4" x14ac:dyDescent="0.25">
      <c r="A318">
        <v>2026</v>
      </c>
      <c r="B318" s="4" t="s">
        <v>650</v>
      </c>
      <c r="C318" t="s">
        <v>651</v>
      </c>
      <c r="D318" s="6">
        <v>0</v>
      </c>
    </row>
    <row r="319" spans="1:4" x14ac:dyDescent="0.25">
      <c r="A319">
        <v>2026</v>
      </c>
      <c r="B319" s="4" t="s">
        <v>652</v>
      </c>
      <c r="C319" t="s">
        <v>653</v>
      </c>
      <c r="D319" s="6">
        <v>534000</v>
      </c>
    </row>
    <row r="320" spans="1:4" x14ac:dyDescent="0.25">
      <c r="A320">
        <v>2026</v>
      </c>
      <c r="B320" s="4" t="s">
        <v>654</v>
      </c>
      <c r="C320" t="s">
        <v>655</v>
      </c>
      <c r="D320" s="6">
        <v>878735</v>
      </c>
    </row>
    <row r="321" spans="1:4" x14ac:dyDescent="0.25">
      <c r="A321">
        <v>2026</v>
      </c>
      <c r="B321" s="4" t="s">
        <v>656</v>
      </c>
      <c r="C321" t="s">
        <v>657</v>
      </c>
      <c r="D321">
        <v>0</v>
      </c>
    </row>
    <row r="322" spans="1:4" x14ac:dyDescent="0.25">
      <c r="A322">
        <v>2026</v>
      </c>
      <c r="B322" s="4" t="s">
        <v>658</v>
      </c>
      <c r="C322" t="s">
        <v>659</v>
      </c>
      <c r="D322" s="6">
        <v>171046</v>
      </c>
    </row>
    <row r="323" spans="1:4" x14ac:dyDescent="0.25">
      <c r="A323">
        <v>2026</v>
      </c>
      <c r="B323" s="4" t="s">
        <v>660</v>
      </c>
      <c r="C323" t="s">
        <v>661</v>
      </c>
      <c r="D323">
        <v>0</v>
      </c>
    </row>
    <row r="324" spans="1:4" x14ac:dyDescent="0.25">
      <c r="A324">
        <v>2026</v>
      </c>
      <c r="B324" s="4" t="s">
        <v>662</v>
      </c>
      <c r="C324" t="s">
        <v>663</v>
      </c>
      <c r="D324" s="6">
        <v>0</v>
      </c>
    </row>
    <row r="325" spans="1:4" x14ac:dyDescent="0.25">
      <c r="A325">
        <v>2026</v>
      </c>
      <c r="B325" s="4" t="s">
        <v>664</v>
      </c>
      <c r="C325" t="s">
        <v>665</v>
      </c>
      <c r="D325" s="6">
        <v>375727</v>
      </c>
    </row>
    <row r="326" spans="1:4" x14ac:dyDescent="0.25">
      <c r="A326">
        <v>2026</v>
      </c>
      <c r="B326" s="4" t="s">
        <v>666</v>
      </c>
      <c r="C326" t="s">
        <v>667</v>
      </c>
      <c r="D326" s="6">
        <v>1025000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CashReserveLevy</vt:lpstr>
      <vt:lpstr>Final</vt:lpstr>
      <vt:lpstr>ActualCRLevy_SAS</vt:lpstr>
      <vt:lpstr>Final!IDX</vt:lpstr>
      <vt:lpstr>CashReserveLevy!Print_Area</vt:lpstr>
      <vt:lpstr>CashReserveLevy!Print_Titles</vt:lpstr>
    </vt:vector>
  </TitlesOfParts>
  <Company>State of Iowa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Parker, John</dc:creator>
  <cp:lastModifiedBy>Parker, John</cp:lastModifiedBy>
  <cp:lastPrinted>2025-07-14T18:33:42Z</cp:lastPrinted>
  <dcterms:created xsi:type="dcterms:W3CDTF">2017-11-27T18:39:34Z</dcterms:created>
  <dcterms:modified xsi:type="dcterms:W3CDTF">2025-07-14T18:33:45Z</dcterms:modified>
</cp:coreProperties>
</file>